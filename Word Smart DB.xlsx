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<sst xmlns="http://schemas.openxmlformats.org/spreadsheetml/2006/main" count="2555" uniqueCount="2522">
  <si>
    <t>Word</t>
  </si>
  <si>
    <t>English Meaning</t>
  </si>
  <si>
    <t>Bangla Meaning</t>
  </si>
  <si>
    <t>Example Sentence</t>
  </si>
  <si>
    <t>Abase</t>
  </si>
  <si>
    <t>to humiliate</t>
  </si>
  <si>
    <t>The king tried to abase his enemies by parading them through the streets.</t>
  </si>
  <si>
    <t>Abash</t>
  </si>
  <si>
    <t>to embarrass</t>
  </si>
  <si>
    <t>She was abashed when she forgot her speech on stage.</t>
  </si>
  <si>
    <t>Abate</t>
  </si>
  <si>
    <t>to reduce</t>
  </si>
  <si>
    <t>The storm finally abated after three days.</t>
  </si>
  <si>
    <t>Abdicate</t>
  </si>
  <si>
    <t>to step down from a position of power</t>
  </si>
  <si>
    <t>The king abdicated his throne to marry a commoner.</t>
  </si>
  <si>
    <t>Aberration</t>
  </si>
  <si>
    <t>something not typical</t>
  </si>
  <si>
    <t>His rude behavior was an aberration from his usual kindness.</t>
  </si>
  <si>
    <t>Abet</t>
  </si>
  <si>
    <t>to support or encourage
someone who has done something wrong</t>
  </si>
  <si>
    <t>He was jailed for abetting the criminal.</t>
  </si>
  <si>
    <t>Abeyance</t>
  </si>
  <si>
    <t>suspension</t>
  </si>
  <si>
    <t>The project was held in abeyance until funds arrived.</t>
  </si>
  <si>
    <t>Abhor</t>
  </si>
  <si>
    <t>to hate</t>
  </si>
  <si>
    <t>She abhors any form of cruelty to animals.</t>
  </si>
  <si>
    <t>Abject</t>
  </si>
  <si>
    <t>hopeless</t>
  </si>
  <si>
    <t>The refugees lived in abject poverty.</t>
  </si>
  <si>
    <t>Abjure</t>
  </si>
  <si>
    <t>to refrain from</t>
  </si>
  <si>
    <t>He abjured violence and chose a peaceful path.</t>
  </si>
  <si>
    <t>Abnegate</t>
  </si>
  <si>
    <t>to reject</t>
  </si>
  <si>
    <t>She abnegated her personal desires to serve others.</t>
  </si>
  <si>
    <t>Abomination</t>
  </si>
  <si>
    <t>extreme hatred</t>
  </si>
  <si>
    <t>War is an abomination that destroys lives.</t>
  </si>
  <si>
    <t>Aboriginal</t>
  </si>
  <si>
    <t>native</t>
  </si>
  <si>
    <t>The aboriginal people have lived on this land for centuries.</t>
  </si>
  <si>
    <t>Abortive</t>
  </si>
  <si>
    <t>unsuccessful</t>
  </si>
  <si>
    <t>Their abortive attempt to escape ended in capture.</t>
  </si>
  <si>
    <t>Abound</t>
  </si>
  <si>
    <t>to be very numerous</t>
  </si>
  <si>
    <t>Fish abound in this river during monsoon season.</t>
  </si>
  <si>
    <t>Abridge</t>
  </si>
  <si>
    <t>to shorten</t>
  </si>
  <si>
    <t>The editor abridged the novel to fit the magazine.</t>
  </si>
  <si>
    <t>Abrogate</t>
  </si>
  <si>
    <t>to nullify</t>
  </si>
  <si>
    <t>The new law abrogated several outdated regulations.</t>
  </si>
  <si>
    <t>Absolute</t>
  </si>
  <si>
    <t>total</t>
  </si>
  <si>
    <t>The general demanded absolute obedience from his troops.</t>
  </si>
  <si>
    <t>Absolve</t>
  </si>
  <si>
    <t>to free from blame</t>
  </si>
  <si>
    <t>The court absolved him of all charges.</t>
  </si>
  <si>
    <t>Abstinent</t>
  </si>
  <si>
    <t>voluntarily not doing something</t>
  </si>
  <si>
    <t>He remained abstinent from alcohol his entire life.</t>
  </si>
  <si>
    <t>Abstract</t>
  </si>
  <si>
    <t>theoretical</t>
  </si>
  <si>
    <t>Mathematics can seem very abstract to young students.</t>
  </si>
  <si>
    <t>Abstruse</t>
  </si>
  <si>
    <t>difficult to understand</t>
  </si>
  <si>
    <t>The professor's lecture was so abstruse that students fell asleep.</t>
  </si>
  <si>
    <t>Abysmal</t>
  </si>
  <si>
    <t>extremely hopeless; bottomless</t>
  </si>
  <si>
    <t>The team's performance was abysmal in the final match.</t>
  </si>
  <si>
    <t>Accede</t>
  </si>
  <si>
    <t>to give in</t>
  </si>
  <si>
    <t>The manager acceded to the workers' demands.</t>
  </si>
  <si>
    <t>Accentuate</t>
  </si>
  <si>
    <t>to emphasize</t>
  </si>
  <si>
    <t>Her smile accentuated the warmth of her personality.</t>
  </si>
  <si>
    <t>Access</t>
  </si>
  <si>
    <t>the right or ability to approach, enter or use</t>
  </si>
  <si>
    <t>Only staff have access to the restricted area.</t>
  </si>
  <si>
    <t>Acclaim</t>
  </si>
  <si>
    <t>to praise publicly and enthusiastically</t>
  </si>
  <si>
    <t>The film received widespread acclaim from critics.</t>
  </si>
  <si>
    <t>Accolade</t>
  </si>
  <si>
    <t>an honor</t>
  </si>
  <si>
    <t>Winning the Nobel Prize is the highest accolade a scientist can receive.</t>
  </si>
  <si>
    <t>Accord</t>
  </si>
  <si>
    <t>to agree</t>
  </si>
  <si>
    <t>The two nations reached an accord on trade.</t>
  </si>
  <si>
    <t>Accost</t>
  </si>
  <si>
    <t>to approach and speak to someone</t>
  </si>
  <si>
    <t>A stranger accosted him on the street asking for money.</t>
  </si>
  <si>
    <t>Accouterments</t>
  </si>
  <si>
    <t>personal clothing, accessories or
equipment</t>
  </si>
  <si>
    <t>A soldier's accouterments include a helmet, vest, and weapon.</t>
  </si>
  <si>
    <t>Accrue</t>
  </si>
  <si>
    <t>to accumulate over time</t>
  </si>
  <si>
    <t>Interest accrues on savings accounts monthly.</t>
  </si>
  <si>
    <t>Acerbic</t>
  </si>
  <si>
    <t>bitter; sour; severe</t>
  </si>
  <si>
    <t>His acerbic remarks left everyone feeling uncomfortable.</t>
  </si>
  <si>
    <t>Acquiesce</t>
  </si>
  <si>
    <t>to comply passively</t>
  </si>
  <si>
    <t>She acquiesced to his plan despite her doubts.</t>
  </si>
  <si>
    <t>Acquisitive</t>
  </si>
  <si>
    <t>greedy</t>
  </si>
  <si>
    <t>His acquisitive nature made him unpopular at work.</t>
  </si>
  <si>
    <t>Acquit</t>
  </si>
  <si>
    <t>to find not guilty</t>
  </si>
  <si>
    <t>The jury acquitted him after reviewing the evidence.</t>
  </si>
  <si>
    <t>Acrid</t>
  </si>
  <si>
    <t>harsh</t>
  </si>
  <si>
    <t>The acrid smell of smoke filled the building.</t>
  </si>
  <si>
    <t>Acrimonious</t>
  </si>
  <si>
    <t>bitter</t>
  </si>
  <si>
    <t>Their divorce was long and acrimonious.</t>
  </si>
  <si>
    <t>Acronym</t>
  </si>
  <si>
    <t>a word made up of the initials of other words</t>
  </si>
  <si>
    <t>NASA is an acronym for National Aeronautics and Space Administration.</t>
  </si>
  <si>
    <t>Acumen</t>
  </si>
  <si>
    <t>mental sharpness</t>
  </si>
  <si>
    <t>Her business acumen helped the company grow rapidly.</t>
  </si>
  <si>
    <t>Acute</t>
  </si>
  <si>
    <t>sharp</t>
  </si>
  <si>
    <t>He had an acute sense of hearing.</t>
  </si>
  <si>
    <t>Ad-lib</t>
  </si>
  <si>
    <t>to improvise</t>
  </si>
  <si>
    <t>When he forgot his lines, he ad-libbed brilliantly.</t>
  </si>
  <si>
    <t>Adage</t>
  </si>
  <si>
    <t>a proverb</t>
  </si>
  <si>
    <t>The old adage says that time is money.</t>
  </si>
  <si>
    <t>Adamant</t>
  </si>
  <si>
    <t>stubborn</t>
  </si>
  <si>
    <t>She was adamant about not changing her decision.</t>
  </si>
  <si>
    <t>Address</t>
  </si>
  <si>
    <t>to direct one's attention to</t>
  </si>
  <si>
    <t>The president addressed the nation on television.</t>
  </si>
  <si>
    <t>Adduce</t>
  </si>
  <si>
    <t>to bring forward as an example or as proof</t>
  </si>
  <si>
    <t>He adduced several facts to support his argument.</t>
  </si>
  <si>
    <t>Adherent</t>
  </si>
  <si>
    <t>supporter</t>
  </si>
  <si>
    <t>She is a strong adherent of environmental causes.</t>
  </si>
  <si>
    <t>Adjourn</t>
  </si>
  <si>
    <t>to postpone</t>
  </si>
  <si>
    <t>The meeting was adjourned until the following Monday.</t>
  </si>
  <si>
    <t>Adjunct</t>
  </si>
  <si>
    <t>something added to or connected with something else</t>
  </si>
  <si>
    <t>Exercise is a useful adjunct to a healthy diet.</t>
  </si>
  <si>
    <t>Admonish</t>
  </si>
  <si>
    <t>to warn</t>
  </si>
  <si>
    <t>The teacher admonished students to study hard.</t>
  </si>
  <si>
    <t>Adroit</t>
  </si>
  <si>
    <t>skillful</t>
  </si>
  <si>
    <t>She was adroit at handling difficult customers.</t>
  </si>
  <si>
    <t>Advent</t>
  </si>
  <si>
    <t>arrival</t>
  </si>
  <si>
    <t>The advent of smartphones changed communication forever.</t>
  </si>
  <si>
    <t>Adventitious</t>
  </si>
  <si>
    <t>accidental</t>
  </si>
  <si>
    <t>His discovery of penicillin was partly adventitious.</t>
  </si>
  <si>
    <t>Advocate</t>
  </si>
  <si>
    <t>a person who argues in favor of a position</t>
  </si>
  <si>
    <t>She is a strong advocate for children's rights.</t>
  </si>
  <si>
    <t>Affidavit</t>
  </si>
  <si>
    <t>a sworn written statement made before
an official</t>
  </si>
  <si>
    <t>He signed an affidavit confirming his whereabouts.</t>
  </si>
  <si>
    <t>Affiliate</t>
  </si>
  <si>
    <t>to become closely associated with</t>
  </si>
  <si>
    <t>The small hospital affiliated itself with a larger medical center.</t>
  </si>
  <si>
    <t>Affliction</t>
  </si>
  <si>
    <t>misery</t>
  </si>
  <si>
    <t>Poverty is an affliction that affects millions worldwide.</t>
  </si>
  <si>
    <t>Afford</t>
  </si>
  <si>
    <t>to supply</t>
  </si>
  <si>
    <t>The hilltop affords a beautiful view of the city.</t>
  </si>
  <si>
    <t>Affront</t>
  </si>
  <si>
    <t>a deliberate act of disrespect</t>
  </si>
  <si>
    <t>His rude comment was an affront to everyone present.</t>
  </si>
  <si>
    <t>Aftermath</t>
  </si>
  <si>
    <t>consequence</t>
  </si>
  <si>
    <t>The aftermath of the flood lasted for months.</t>
  </si>
  <si>
    <t>Aggrandize</t>
  </si>
  <si>
    <t>to exaggerate</t>
  </si>
  <si>
    <t>He tends to aggrandize his own achievements.</t>
  </si>
  <si>
    <t>Aggrieve</t>
  </si>
  <si>
    <t>to mistreat</t>
  </si>
  <si>
    <t>The workers felt aggrieved by the unfair pay cuts.</t>
  </si>
  <si>
    <t>Aghast</t>
  </si>
  <si>
    <t>terrified</t>
  </si>
  <si>
    <t>She was aghast at the news of the accident.</t>
  </si>
  <si>
    <t>Alacrity</t>
  </si>
  <si>
    <t>cheerful promptness</t>
  </si>
  <si>
    <t>He accepted the challenge with alacrity.</t>
  </si>
  <si>
    <t>Alchemy</t>
  </si>
  <si>
    <t>a seemingly magical process of
transformation</t>
  </si>
  <si>
    <t>Good cooking is an alchemy that transforms raw ingredients.</t>
  </si>
  <si>
    <t>Alienate</t>
  </si>
  <si>
    <t>to estrange</t>
  </si>
  <si>
    <t>His arrogance alienated all his friends.</t>
  </si>
  <si>
    <t>Allege</t>
  </si>
  <si>
    <t>to assert without proof</t>
  </si>
  <si>
    <t>The newspaper alleged that the minister had taken bribes.</t>
  </si>
  <si>
    <t>Allegiance</t>
  </si>
  <si>
    <t>loyalty</t>
  </si>
  <si>
    <t>Soldiers swear allegiance to their country.</t>
  </si>
  <si>
    <t>Allegory</t>
  </si>
  <si>
    <t>a story in which the characters are symbols
with moral or spiritual meanings</t>
  </si>
  <si>
    <t>Animal Farm is an allegory about political corruption.</t>
  </si>
  <si>
    <t>Alleviate</t>
  </si>
  <si>
    <t>to relieve</t>
  </si>
  <si>
    <t>The medicine helped alleviate his pain.</t>
  </si>
  <si>
    <t>Allocate</t>
  </si>
  <si>
    <t>to distribute</t>
  </si>
  <si>
    <t>The government allocated funds for disaster relief.</t>
  </si>
  <si>
    <t>Alloy</t>
  </si>
  <si>
    <t>a combination, usually of metals</t>
  </si>
  <si>
    <t>Bronze is an alloy of copper and tin.</t>
  </si>
  <si>
    <t>Allusion</t>
  </si>
  <si>
    <t>an indirect reference</t>
  </si>
  <si>
    <t>His speech was full of allusions to Shakespeare.</t>
  </si>
  <si>
    <t>Aloof</t>
  </si>
  <si>
    <t>uninvolved</t>
  </si>
  <si>
    <t>She remained aloof during the argument.</t>
  </si>
  <si>
    <t>Altruism</t>
  </si>
  <si>
    <t>devotion to the interest of others</t>
  </si>
  <si>
    <t>His altruism was evident in his years of volunteer work.</t>
  </si>
  <si>
    <t>Ambience</t>
  </si>
  <si>
    <t>atmosphere</t>
  </si>
  <si>
    <t>The restaurant had a romantic ambience.</t>
  </si>
  <si>
    <t>Ambiguous</t>
  </si>
  <si>
    <t>unclear in meaning</t>
  </si>
  <si>
    <t>His ambiguous answer left everyone confused.</t>
  </si>
  <si>
    <t>Ambivalent</t>
  </si>
  <si>
    <t>undecided</t>
  </si>
  <si>
    <t>She felt ambivalent about accepting the job offer.</t>
  </si>
  <si>
    <t>Ameliorate</t>
  </si>
  <si>
    <t>to make better</t>
  </si>
  <si>
    <t>New policies were introduced to ameliorate living conditions.</t>
  </si>
  <si>
    <t>Amenable</t>
  </si>
  <si>
    <t>obedient</t>
  </si>
  <si>
    <t>He was amenable to suggestions from his team.</t>
  </si>
  <si>
    <t>Amenity</t>
  </si>
  <si>
    <t>attractive or comfortable feature</t>
  </si>
  <si>
    <t>The hotel offered many amenities including a pool and gym.</t>
  </si>
  <si>
    <t>Amiable</t>
  </si>
  <si>
    <t>friendly</t>
  </si>
  <si>
    <t>Her amiable personality made her very popular.</t>
  </si>
  <si>
    <t>Amnesty</t>
  </si>
  <si>
    <t>an official pardon for a group of people who
have violated a law or policy</t>
  </si>
  <si>
    <t>The government declared amnesty for all political prisoners.</t>
  </si>
  <si>
    <t>Amoral</t>
  </si>
  <si>
    <t>lacking a sense of right and wrong</t>
  </si>
  <si>
    <t>The con artist was completely amoral.</t>
  </si>
  <si>
    <t>Amorous</t>
  </si>
  <si>
    <t>in love in a sexual way</t>
  </si>
  <si>
    <t>He cast an amorous glance at her across the room.</t>
  </si>
  <si>
    <t>Amorphous</t>
  </si>
  <si>
    <t>shapeless</t>
  </si>
  <si>
    <t>The amorphous blob of clay slowly took shape.</t>
  </si>
  <si>
    <t>Anachronism</t>
  </si>
  <si>
    <t>something out of place in time or history</t>
  </si>
  <si>
    <t>Using a quill pen in modern times is an anachronism.</t>
  </si>
  <si>
    <t>Analogy</t>
  </si>
  <si>
    <t>a comparison</t>
  </si>
  <si>
    <t>He used an analogy to explain how the heart works like a pump.</t>
  </si>
  <si>
    <t>Anarchy</t>
  </si>
  <si>
    <t>disorder</t>
  </si>
  <si>
    <t>After the king fled, the country fell into anarchy.</t>
  </si>
  <si>
    <t>Anecdote</t>
  </si>
  <si>
    <t>a short account of a humorous or revealing incident</t>
  </si>
  <si>
    <t>She told a funny anecdote about her first day at work.</t>
  </si>
  <si>
    <t>Anguish</t>
  </si>
  <si>
    <t>agonizing physical or mental pain</t>
  </si>
  <si>
    <t>The loss of her child caused her immense anguish.</t>
  </si>
  <si>
    <t>Animosity</t>
  </si>
  <si>
    <t>ill will</t>
  </si>
  <si>
    <t>There was deep animosity between the two rival groups.</t>
  </si>
  <si>
    <t>Anomaly</t>
  </si>
  <si>
    <t>irregularity</t>
  </si>
  <si>
    <t>The scientist noticed an anomaly in the data.</t>
  </si>
  <si>
    <t>Antecedent</t>
  </si>
  <si>
    <t>something that provides a model for</t>
  </si>
  <si>
    <t>The French Revolution was an antecedent to many modern democracies.</t>
  </si>
  <si>
    <t>something that came after it</t>
  </si>
  <si>
    <t>Antipathy</t>
  </si>
  <si>
    <t>dislike</t>
  </si>
  <si>
    <t>He felt a strong antipathy toward dishonesty.</t>
  </si>
  <si>
    <t>Antithesis</t>
  </si>
  <si>
    <t>the direct opposite</t>
  </si>
  <si>
    <t>Kindness is the antithesis of cruelty.</t>
  </si>
  <si>
    <t>Apartheid</t>
  </si>
  <si>
    <t>the abhorrent policy of racial segregation and oppression in South
Africa</t>
  </si>
  <si>
    <t>Nelson Mandela fought against apartheid for decades.</t>
  </si>
  <si>
    <t>Apathy</t>
  </si>
  <si>
    <t>lack of interest</t>
  </si>
  <si>
    <t>Voter apathy was a major problem in the election.</t>
  </si>
  <si>
    <t>Aphorism</t>
  </si>
  <si>
    <t>proverb</t>
  </si>
  <si>
    <t>"Less is more" is a well-known aphorism in design.</t>
  </si>
  <si>
    <t>Apocalypse</t>
  </si>
  <si>
    <t>revelation</t>
  </si>
  <si>
    <t>The film depicted an apocalypse caused by climate change.</t>
  </si>
  <si>
    <t>Apocryphal</t>
  </si>
  <si>
    <t>of dubious authenticity</t>
  </si>
  <si>
    <t>The story of his heroism is probably apocryphal.</t>
  </si>
  <si>
    <t>Apotheosis</t>
  </si>
  <si>
    <t>the perfect example of something</t>
  </si>
  <si>
    <t>That painting is the apotheosis of Renaissance art.</t>
  </si>
  <si>
    <t>Appease</t>
  </si>
  <si>
    <t>to pacify by giving in to</t>
  </si>
  <si>
    <t>She brought gifts to appease her angry boss.</t>
  </si>
  <si>
    <t>Appreciate</t>
  </si>
  <si>
    <t>to increase in value</t>
  </si>
  <si>
    <t>Property in this area has appreciated significantly.</t>
  </si>
  <si>
    <t>Apprehensive</t>
  </si>
  <si>
    <t>anxious</t>
  </si>
  <si>
    <t>She was apprehensive about her exam results.</t>
  </si>
  <si>
    <t>Approbation</t>
  </si>
  <si>
    <t>approval; praise</t>
  </si>
  <si>
    <t>He sought his father's approbation before making the decision.</t>
  </si>
  <si>
    <t>Appropriate</t>
  </si>
  <si>
    <t>to take without permission; to set aside for a particular use</t>
  </si>
  <si>
    <t>The funds were appropriated for road construction.</t>
  </si>
  <si>
    <t>Aptitude</t>
  </si>
  <si>
    <t>capacity for learning</t>
  </si>
  <si>
    <t>She showed a natural aptitude for mathematics.</t>
  </si>
  <si>
    <t>Arbiter</t>
  </si>
  <si>
    <t>a judge</t>
  </si>
  <si>
    <t>The chairman acted as arbiter in the dispute.</t>
  </si>
  <si>
    <t>Arbitrary</t>
  </si>
  <si>
    <t>random</t>
  </si>
  <si>
    <t>His arbitrary decision angered the entire team.</t>
  </si>
  <si>
    <t>Arcane</t>
  </si>
  <si>
    <t>known only to a select few</t>
  </si>
  <si>
    <t>The professor's lecture on arcane philosophy confused students.</t>
  </si>
  <si>
    <t>Archaic</t>
  </si>
  <si>
    <t>ancient</t>
  </si>
  <si>
    <t>The museum displayed archaic tools from the Stone Age.</t>
  </si>
  <si>
    <t>Archetype</t>
  </si>
  <si>
    <t>an original model or pattern</t>
  </si>
  <si>
    <t>The hero is a common archetype in literature.</t>
  </si>
  <si>
    <t>Ardent</t>
  </si>
  <si>
    <t>passionate</t>
  </si>
  <si>
    <t>She was an ardent supporter of human rights.</t>
  </si>
  <si>
    <t>Arduous</t>
  </si>
  <si>
    <t>difficult</t>
  </si>
  <si>
    <t>The trek up the mountain was arduous but rewarding.</t>
  </si>
  <si>
    <t>Aristocratic</t>
  </si>
  <si>
    <t>noble birth; snobbish</t>
  </si>
  <si>
    <t>She carried herself with an aristocratic air.</t>
  </si>
  <si>
    <t>Artful</t>
  </si>
  <si>
    <t>dishonest; crafty</t>
  </si>
  <si>
    <t>The artful salesman convinced him to buy things he didn't need.</t>
  </si>
  <si>
    <t>Artifice</t>
  </si>
  <si>
    <t>a clever trick</t>
  </si>
  <si>
    <t>Her smile was an artifice to hide her true feelings.</t>
  </si>
  <si>
    <t>Ascendancy</t>
  </si>
  <si>
    <t>domination</t>
  </si>
  <si>
    <t>The party gained ascendancy over its rivals.</t>
  </si>
  <si>
    <t>Ascetic</t>
  </si>
  <si>
    <t>practicing self-denial</t>
  </si>
  <si>
    <t>The monk lived an ascetic life without luxury.</t>
  </si>
  <si>
    <t>Assiduous</t>
  </si>
  <si>
    <t>hardworking</t>
  </si>
  <si>
    <t>She was assiduous in her preparation for the exam.</t>
  </si>
  <si>
    <t>Assimilate</t>
  </si>
  <si>
    <t>to absorb</t>
  </si>
  <si>
    <t>It takes time to assimilate into a new culture.</t>
  </si>
  <si>
    <t>Assuage</t>
  </si>
  <si>
    <t>to soothe</t>
  </si>
  <si>
    <t>He tried to assuage her fears with kind words.</t>
  </si>
  <si>
    <t>Astute</t>
  </si>
  <si>
    <t>keen in judgement</t>
  </si>
  <si>
    <t>The astute investor made a fortune in the market.</t>
  </si>
  <si>
    <t>Attrition</t>
  </si>
  <si>
    <t>gradual wearing away, weakening or loss</t>
  </si>
  <si>
    <t>The army defeated the enemy through a war of attrition.</t>
  </si>
  <si>
    <t>Audacity</t>
  </si>
  <si>
    <t>boldness</t>
  </si>
  <si>
    <t>He had the audacity to ask for a raise after being late every day.</t>
  </si>
  <si>
    <t>Augment</t>
  </si>
  <si>
    <t>to increase</t>
  </si>
  <si>
    <t>She took a second job to augment her income.</t>
  </si>
  <si>
    <t>Auspicious</t>
  </si>
  <si>
    <t>favorable</t>
  </si>
  <si>
    <t>It was an auspicious start to the new year.</t>
  </si>
  <si>
    <t>Austere</t>
  </si>
  <si>
    <t>unadorned</t>
  </si>
  <si>
    <t>He lived an austere life without any luxuries.</t>
  </si>
  <si>
    <t>Autocratic</t>
  </si>
  <si>
    <t>extremely bossy</t>
  </si>
  <si>
    <t>The autocratic manager never accepted any feedback.</t>
  </si>
  <si>
    <t>Autonomous</t>
  </si>
  <si>
    <t>acting independently</t>
  </si>
  <si>
    <t>The region became autonomous after the peace agreement.</t>
  </si>
  <si>
    <t>Avarice</t>
  </si>
  <si>
    <t>excessive love of riches</t>
  </si>
  <si>
    <t>His avarice led him to betray his own friends.</t>
  </si>
  <si>
    <t>Avow</t>
  </si>
  <si>
    <t>to declare boldly</t>
  </si>
  <si>
    <t>He avowed his love for her in front of everyone.</t>
  </si>
  <si>
    <t>Avuncular</t>
  </si>
  <si>
    <t>like a nice uncle</t>
  </si>
  <si>
    <t>He had an avuncular manner that put young people at ease.</t>
  </si>
  <si>
    <t>Awry</t>
  </si>
  <si>
    <t>off course; twisted to one side</t>
  </si>
  <si>
    <t>Our plans went awry when the venue cancelled.</t>
  </si>
  <si>
    <t>Axiom</t>
  </si>
  <si>
    <t>a widely accepted saying</t>
  </si>
  <si>
    <t>It is an axiom that the sun rises in the east.</t>
  </si>
  <si>
    <t>Banal</t>
  </si>
  <si>
    <t>unoriginal</t>
  </si>
  <si>
    <t>His speech was full of banal clichés.</t>
  </si>
  <si>
    <t>Bane</t>
  </si>
  <si>
    <t>cause of harm; poison</t>
  </si>
  <si>
    <t>Jealousy was the bane of their friendship.</t>
  </si>
  <si>
    <t>Bastion</t>
  </si>
  <si>
    <t>fortified place</t>
  </si>
  <si>
    <t>The library is a bastion of knowledge.</t>
  </si>
  <si>
    <t>Beget</t>
  </si>
  <si>
    <t>to lead to</t>
  </si>
  <si>
    <t>Violence begets more violence.</t>
  </si>
  <si>
    <t>Belabor</t>
  </si>
  <si>
    <t>to go over repeatedly or to an absurd extent</t>
  </si>
  <si>
    <t>He belabored the same point for an hour without adding anything new.</t>
  </si>
  <si>
    <t>Beleaguer</t>
  </si>
  <si>
    <t>to harass; crowd</t>
  </si>
  <si>
    <t>The beleaguered teacher struggled to manage the noisy class.</t>
  </si>
  <si>
    <t>Belie</t>
  </si>
  <si>
    <t>to contradict</t>
  </si>
  <si>
    <t>His calm expression belied his inner anxiety.</t>
  </si>
  <si>
    <t>Belittle</t>
  </si>
  <si>
    <t>to make seem little</t>
  </si>
  <si>
    <t>He always belittled others to feel superior.</t>
  </si>
  <si>
    <t>Belligerent</t>
  </si>
  <si>
    <t>quarrelsome</t>
  </si>
  <si>
    <t>He became belligerent after a few drinks.</t>
  </si>
  <si>
    <t>Bemused</t>
  </si>
  <si>
    <t>confused; bewildered</t>
  </si>
  <si>
    <t>She looked bemused by the strange question.</t>
  </si>
  <si>
    <t>Benefactor</t>
  </si>
  <si>
    <t>one who provides help in the form of a gift or
donation</t>
  </si>
  <si>
    <t>An anonymous benefactor donated a new library to the school.</t>
  </si>
  <si>
    <t>Benevolent</t>
  </si>
  <si>
    <t>generous</t>
  </si>
  <si>
    <t>The benevolent businessman funded scholarships for poor students.</t>
  </si>
  <si>
    <t>Benign</t>
  </si>
  <si>
    <t>not harmful</t>
  </si>
  <si>
    <t>The tumor was benign and required no treatment.</t>
  </si>
  <si>
    <t>Bequest</t>
  </si>
  <si>
    <t>something left to someone in a will</t>
  </si>
  <si>
    <t>He received a bequest of valuable land from his grandfather.</t>
  </si>
  <si>
    <t>Bereaved</t>
  </si>
  <si>
    <t>left desolate, through death</t>
  </si>
  <si>
    <t>The bereaved family needed support from friends.</t>
  </si>
  <si>
    <t>Beset</t>
  </si>
  <si>
    <t>to harass; to surround</t>
  </si>
  <si>
    <t>The traveler was beset by difficulties throughout the journey.</t>
  </si>
  <si>
    <t>Blasphemy</t>
  </si>
  <si>
    <t>an insult to something held sacred</t>
  </si>
  <si>
    <t>He was arrested for blasphemy.</t>
  </si>
  <si>
    <t>Blatant</t>
  </si>
  <si>
    <t>offensively noisy; glaring</t>
  </si>
  <si>
    <t>His blatant lie was obvious to everyone.</t>
  </si>
  <si>
    <t>Blithe</t>
  </si>
  <si>
    <t>carefree; cheerful</t>
  </si>
  <si>
    <t>She walked through the park with a blithe smile.</t>
  </si>
  <si>
    <t>Bourgeois</t>
  </si>
  <si>
    <t>middle class; conventional</t>
  </si>
  <si>
    <t>He rejected bourgeois values and lived as an artist.</t>
  </si>
  <si>
    <t>Bovine</t>
  </si>
  <si>
    <t>cowlike</t>
  </si>
  <si>
    <t>His bovine stare made her wonder if he had understood anything.</t>
  </si>
  <si>
    <t>Brevity</t>
  </si>
  <si>
    <t>briefness</t>
  </si>
  <si>
    <t>Good writing requires brevity and clarity.</t>
  </si>
  <si>
    <t>Broach</t>
  </si>
  <si>
    <t>to open up a delicate subject for discussion</t>
  </si>
  <si>
    <t>It took courage for her to broach the topic of salary.</t>
  </si>
  <si>
    <t>Bucolic</t>
  </si>
  <si>
    <t>countrylike</t>
  </si>
  <si>
    <t>He dreamed of retiring to a bucolic village.</t>
  </si>
  <si>
    <t>Bureaucracy</t>
  </si>
  <si>
    <t>a system of government administration consisting many offices, especially one run according to inflexible and
inefficient rules</t>
  </si>
  <si>
    <t>The bureaucracy made it difficult to get a simple permit.</t>
  </si>
  <si>
    <t>Burgeon</t>
  </si>
  <si>
    <t>to expand; to flourish</t>
  </si>
  <si>
    <t>The city's population has burgeoned in recent years.</t>
  </si>
  <si>
    <t>Burlesque</t>
  </si>
  <si>
    <t>a ludicrous, mocking or exaggerated imitation</t>
  </si>
  <si>
    <t>The show was a burlesque of political life.</t>
  </si>
  <si>
    <t>Cacophony</t>
  </si>
  <si>
    <t>harsh-sounding mixture of words, voices or sounds</t>
  </si>
  <si>
    <t>The cacophony of the market made it hard to think.</t>
  </si>
  <si>
    <t>Cadence</t>
  </si>
  <si>
    <t>the rise and fall of sounds</t>
  </si>
  <si>
    <t>Her voice had a pleasant cadence that kept the audience engaged.</t>
  </si>
  <si>
    <t>Cajole</t>
  </si>
  <si>
    <t>to persuade someone to do something he or she doesn't want to do</t>
  </si>
  <si>
    <t>He cajoled his friend into lending him money.</t>
  </si>
  <si>
    <t>Callow</t>
  </si>
  <si>
    <t>immature</t>
  </si>
  <si>
    <t>The callow intern made several avoidable mistakes.</t>
  </si>
  <si>
    <t>Candor</t>
  </si>
  <si>
    <t>sincere honesty</t>
  </si>
  <si>
    <t>His candor was refreshing in a world full of pretense.</t>
  </si>
  <si>
    <t>Capitalism</t>
  </si>
  <si>
    <t>an economic system in which businesses are owned by private citizens</t>
  </si>
  <si>
    <t>The country shifted from socialism to capitalism after independence.</t>
  </si>
  <si>
    <t>Capitulate</t>
  </si>
  <si>
    <t>to surrender</t>
  </si>
  <si>
    <t>After weeks of fighting, the army capitulated.</t>
  </si>
  <si>
    <t>Capricious</t>
  </si>
  <si>
    <t>fickle</t>
  </si>
  <si>
    <t>Her capricious decisions made planning impossible.</t>
  </si>
  <si>
    <t>Caricature</t>
  </si>
  <si>
    <t>a portrait or description that is purposely distorted or
exaggerated to prove some about its subject</t>
  </si>
  <si>
    <t>The political cartoonist drew a caricature of the president.</t>
  </si>
  <si>
    <t>Castigate</t>
  </si>
  <si>
    <t>to criticize severely</t>
  </si>
  <si>
    <t>The editor castigated the journalist for plagiarism.</t>
  </si>
  <si>
    <t>Catalyst</t>
  </si>
  <si>
    <t>anyone or anything that makes something
happen without being directly in it</t>
  </si>
  <si>
    <t>His speech was the catalyst for the protest movement.</t>
  </si>
  <si>
    <t>Categorical</t>
  </si>
  <si>
    <t>unconditional</t>
  </si>
  <si>
    <t>She gave a categorical denial of the allegations.</t>
  </si>
  <si>
    <t>Catharsis</t>
  </si>
  <si>
    <t>purification that brings
emotional relief or renewal</t>
  </si>
  <si>
    <t>Crying can be a form of catharsis after grief.</t>
  </si>
  <si>
    <t>Catholic</t>
  </si>
  <si>
    <t>embracing everything</t>
  </si>
  <si>
    <t>Her taste in music was catholic — she liked everything.</t>
  </si>
  <si>
    <t>Caustic</t>
  </si>
  <si>
    <t>corrosive</t>
  </si>
  <si>
    <t>His caustic wit often offended people.</t>
  </si>
  <si>
    <t>Celibacy</t>
  </si>
  <si>
    <t>abstinence from sex</t>
  </si>
  <si>
    <t>The monk had taken a vow of celibacy.</t>
  </si>
  <si>
    <t>Censure</t>
  </si>
  <si>
    <t>to condemn severely for doing something
bad</t>
  </si>
  <si>
    <t>The council censured the official for his misconduct.</t>
  </si>
  <si>
    <t>Cerebral</t>
  </si>
  <si>
    <t>brainy</t>
  </si>
  <si>
    <t>Chess is a very cerebral game.</t>
  </si>
  <si>
    <t>Chagrin</t>
  </si>
  <si>
    <t>humiliation</t>
  </si>
  <si>
    <t>To her chagrin, she arrived late to her own party.</t>
  </si>
  <si>
    <t>Charisma</t>
  </si>
  <si>
    <t>a magical-seeming ability to attract
followers or inspire loyalty</t>
  </si>
  <si>
    <t>The leader's charisma won over millions of followers.</t>
  </si>
  <si>
    <t>Charlatan</t>
  </si>
  <si>
    <t>fraud</t>
  </si>
  <si>
    <t>He was exposed as a charlatan who sold fake medicine.</t>
  </si>
  <si>
    <t>Chasm</t>
  </si>
  <si>
    <t>a deep, gaping hole</t>
  </si>
  <si>
    <t>There is a chasm between the rich and the poor.</t>
  </si>
  <si>
    <t>Chastise</t>
  </si>
  <si>
    <t>to discipline</t>
  </si>
  <si>
    <t>The teacher chastised the student for cheating.</t>
  </si>
  <si>
    <t>Chicanery</t>
  </si>
  <si>
    <t>deceitfulness, especially legal or
political</t>
  </si>
  <si>
    <t>The deal was full of legal chicanery.</t>
  </si>
  <si>
    <t>Chimera</t>
  </si>
  <si>
    <t>a foolish fancy</t>
  </si>
  <si>
    <t>His plans for overnight success were mere chimeras.</t>
  </si>
  <si>
    <t>Choleric</t>
  </si>
  <si>
    <t>hot-tempered</t>
  </si>
  <si>
    <t>The choleric boss shouted at everyone in the meeting.</t>
  </si>
  <si>
    <t>Chronic</t>
  </si>
  <si>
    <t>lasting a long time</t>
  </si>
  <si>
    <t>He suffered from chronic back pain.</t>
  </si>
  <si>
    <t>Chronicle</t>
  </si>
  <si>
    <t>a record of events in order of time</t>
  </si>
  <si>
    <t>The book chronicles the rise of the empire.</t>
  </si>
  <si>
    <t>Circuitous</t>
  </si>
  <si>
    <t>roundabout</t>
  </si>
  <si>
    <t>He took a circuitous route to avoid traffic.</t>
  </si>
  <si>
    <t>Circumlocution</t>
  </si>
  <si>
    <t>an indirect expression</t>
  </si>
  <si>
    <t>He used circumlocution to avoid answering directly.</t>
  </si>
  <si>
    <t>Circumscribe</t>
  </si>
  <si>
    <t>to restrict</t>
  </si>
  <si>
    <t>The new law circumscribes the powers of the president.</t>
  </si>
  <si>
    <t>Circumspect</t>
  </si>
  <si>
    <t>cautious</t>
  </si>
  <si>
    <t>She was circumspect in sharing personal information.</t>
  </si>
  <si>
    <t>Circumvent</t>
  </si>
  <si>
    <t>to frustrate as though by surrounding</t>
  </si>
  <si>
    <t>He found a way to circumvent the security system.</t>
  </si>
  <si>
    <t>Civil</t>
  </si>
  <si>
    <t>polite</t>
  </si>
  <si>
    <t>Please be civil to your colleagues.</t>
  </si>
  <si>
    <t>Clemency</t>
  </si>
  <si>
    <t>forgiveness; mildness</t>
  </si>
  <si>
    <t>The judge showed clemency to the first-time offender.</t>
  </si>
  <si>
    <t>Cliche</t>
  </si>
  <si>
    <t>an overused saying or idea</t>
  </si>
  <si>
    <t>His speech was full of tired clichés.</t>
  </si>
  <si>
    <t>Clique</t>
  </si>
  <si>
    <t>an exclusive group bound together by some shared quality or interest</t>
  </si>
  <si>
    <t>The popular kids formed a clique that excluded others.</t>
  </si>
  <si>
    <t>Coalesce</t>
  </si>
  <si>
    <t>to unite</t>
  </si>
  <si>
    <t>The two parties coalesced to form a majority.</t>
  </si>
  <si>
    <t>Coerce</t>
  </si>
  <si>
    <t>to force someone to do or not to do something</t>
  </si>
  <si>
    <t>He coerced his employees into working overtime.</t>
  </si>
  <si>
    <t>Cogent</t>
  </si>
  <si>
    <t>powerfully convincing</t>
  </si>
  <si>
    <t>She made a cogent argument for the new policy.</t>
  </si>
  <si>
    <t>Cognitive</t>
  </si>
  <si>
    <t>dealing with how we
know the world around us through our senses</t>
  </si>
  <si>
    <t>Regular exercise improves cognitive function.</t>
  </si>
  <si>
    <t>Cognizant</t>
  </si>
  <si>
    <t>aware; conscious</t>
  </si>
  <si>
    <t>She was fully cognizant of the risks involved.</t>
  </si>
  <si>
    <t>Coherent</t>
  </si>
  <si>
    <t>holding together; making sense</t>
  </si>
  <si>
    <t>Please give a coherent explanation of what happened.</t>
  </si>
  <si>
    <t>Colloquial</t>
  </si>
  <si>
    <t>informal in language</t>
  </si>
  <si>
    <t>The essay was too colloquial for an academic submission.</t>
  </si>
  <si>
    <t>Collusion</t>
  </si>
  <si>
    <t>secret cooperation</t>
  </si>
  <si>
    <t>The two companies were found guilty of collusion.</t>
  </si>
  <si>
    <t>Commensurate</t>
  </si>
  <si>
    <t>proportionate; equal</t>
  </si>
  <si>
    <t>His salary should be commensurate with his experience.</t>
  </si>
  <si>
    <t>Compelling</t>
  </si>
  <si>
    <t>forceful</t>
  </si>
  <si>
    <t>She made a compelling case for expanding the project.</t>
  </si>
  <si>
    <t>Compendium</t>
  </si>
  <si>
    <t>a summary</t>
  </si>
  <si>
    <t>The book is a compendium of world history.</t>
  </si>
  <si>
    <t>Complacent</t>
  </si>
  <si>
    <t>overly pleased with oneself</t>
  </si>
  <si>
    <t>He became complacent after early success and stopped improving.</t>
  </si>
  <si>
    <t>Complement</t>
  </si>
  <si>
    <t>to be the perfect counterpart</t>
  </si>
  <si>
    <t>Red wine complements red meat perfectly.</t>
  </si>
  <si>
    <t>Complicity</t>
  </si>
  <si>
    <t>participation in wrongdoing</t>
  </si>
  <si>
    <t>His complicity in the crime was proven in court.</t>
  </si>
  <si>
    <t>Comprehensive</t>
  </si>
  <si>
    <t>including everything</t>
  </si>
  <si>
    <t>The doctor conducted a comprehensive health checkup.</t>
  </si>
  <si>
    <t>Comprise</t>
  </si>
  <si>
    <t>to consist of</t>
  </si>
  <si>
    <t>The committee comprises ten members.</t>
  </si>
  <si>
    <t>Conciliatory</t>
  </si>
  <si>
    <t>attempting to resolve a dispute through goodwill</t>
  </si>
  <si>
    <t>He took a conciliatory approach to end the conflict.</t>
  </si>
  <si>
    <t>Concise</t>
  </si>
  <si>
    <t>succinct</t>
  </si>
  <si>
    <t>Please write a concise report of the meeting.</t>
  </si>
  <si>
    <t>Concord</t>
  </si>
  <si>
    <t>agreement</t>
  </si>
  <si>
    <t>The two nations lived in concord for decades.</t>
  </si>
  <si>
    <t>Concurrent</t>
  </si>
  <si>
    <t>happening at the same time</t>
  </si>
  <si>
    <t>Two concurrent events were held in the same building.</t>
  </si>
  <si>
    <t>Condescend</t>
  </si>
  <si>
    <t>to stoop down to someone's level</t>
  </si>
  <si>
    <t>He condescended to explain the basics to the new employee.</t>
  </si>
  <si>
    <t>Condone</t>
  </si>
  <si>
    <t>to permit to happen</t>
  </si>
  <si>
    <t>The school does not condone bullying.</t>
  </si>
  <si>
    <t>Conducive</t>
  </si>
  <si>
    <t>promoting</t>
  </si>
  <si>
    <t>A quiet room is conducive to studying.</t>
  </si>
  <si>
    <t>Confluence</t>
  </si>
  <si>
    <t>the place where the
river begins to flow together</t>
  </si>
  <si>
    <t>The town is located at the confluence of two rivers.</t>
  </si>
  <si>
    <t>Congenial</t>
  </si>
  <si>
    <t>pleasant</t>
  </si>
  <si>
    <t>He found the new office environment very congenial.</t>
  </si>
  <si>
    <t>Congenital</t>
  </si>
  <si>
    <t>a trait or condition acquired at birth by nature</t>
  </si>
  <si>
    <t>He had a congenital heart defect.</t>
  </si>
  <si>
    <t>Conjecture</t>
  </si>
  <si>
    <t>to guess</t>
  </si>
  <si>
    <t>Without evidence, we can only conjecture about the cause.</t>
  </si>
  <si>
    <t>Conjure</t>
  </si>
  <si>
    <t>to summon or bring into being as if by
magic</t>
  </si>
  <si>
    <t>She conjured a brilliant solution seemingly out of thin air.</t>
  </si>
  <si>
    <t>Connoisseur</t>
  </si>
  <si>
    <t>an expert, particularly in matters of art or taste</t>
  </si>
  <si>
    <t>He is a connoisseur of French wine.</t>
  </si>
  <si>
    <t>Consecrate</t>
  </si>
  <si>
    <t>to make or declare sacred</t>
  </si>
  <si>
    <t>The priest consecrated the new church.</t>
  </si>
  <si>
    <t>Consensus</t>
  </si>
  <si>
    <t>general agreement</t>
  </si>
  <si>
    <t>There was a consensus that the plan needed revision.</t>
  </si>
  <si>
    <t>Consonant</t>
  </si>
  <si>
    <t>in agreement</t>
  </si>
  <si>
    <t>His actions were consonant with his stated values.</t>
  </si>
  <si>
    <t>Construe</t>
  </si>
  <si>
    <t>to interpret</t>
  </si>
  <si>
    <t>His silence was construed as agreement.</t>
  </si>
  <si>
    <t>Consummate</t>
  </si>
  <si>
    <t>to complete; supremely skillful</t>
  </si>
  <si>
    <t>She is a consummate professional.</t>
  </si>
  <si>
    <t>Contentious</t>
  </si>
  <si>
    <t>The contentious debate lasted for hours.</t>
  </si>
  <si>
    <t>Contiguous</t>
  </si>
  <si>
    <t>side by side</t>
  </si>
  <si>
    <t>The two countries share a contiguous border.</t>
  </si>
  <si>
    <t>Contingent</t>
  </si>
  <si>
    <t>dependent; possible</t>
  </si>
  <si>
    <t>The plan is contingent on receiving funding.</t>
  </si>
  <si>
    <t>Contrite</t>
  </si>
  <si>
    <t>admitting guilts</t>
  </si>
  <si>
    <t>He was contrite after realizing he had hurt her feelings.</t>
  </si>
  <si>
    <t>Contrived</t>
  </si>
  <si>
    <t>artificial</t>
  </si>
  <si>
    <t>The ending of the film felt contrived and unrealistic.</t>
  </si>
  <si>
    <t>Conventional</t>
  </si>
  <si>
    <t>common</t>
  </si>
  <si>
    <t>He chose a conventional career in law.</t>
  </si>
  <si>
    <t>Convivial</t>
  </si>
  <si>
    <t>festive</t>
  </si>
  <si>
    <t>The party had a convivial atmosphere.</t>
  </si>
  <si>
    <t>Copious</t>
  </si>
  <si>
    <t>abundant</t>
  </si>
  <si>
    <t>She took copious notes during the lecture.</t>
  </si>
  <si>
    <t>Corollary</t>
  </si>
  <si>
    <t>a natural consequence</t>
  </si>
  <si>
    <t>Obesity is often a corollary of a sedentary lifestyle.</t>
  </si>
  <si>
    <t>Corroborate</t>
  </si>
  <si>
    <t>to back up with evidence</t>
  </si>
  <si>
    <t>His story was corroborated by two witnesses.</t>
  </si>
  <si>
    <t>Cosmopolitan</t>
  </si>
  <si>
    <t>at home in many places or situations</t>
  </si>
  <si>
    <t>London is a truly cosmopolitan city.</t>
  </si>
  <si>
    <t>Countenance</t>
  </si>
  <si>
    <t>facial expression</t>
  </si>
  <si>
    <t>Her countenance revealed her deep disappointment.</t>
  </si>
  <si>
    <t>Coup</t>
  </si>
  <si>
    <t>a brilliant victory or accomplishment</t>
  </si>
  <si>
    <t>Winning that contract was a major coup for the company.</t>
  </si>
  <si>
    <t>Covenant</t>
  </si>
  <si>
    <t>a solemn agreement</t>
  </si>
  <si>
    <t>The two nations signed a covenant of mutual protection.</t>
  </si>
  <si>
    <t>Covert</t>
  </si>
  <si>
    <t>hidden</t>
  </si>
  <si>
    <t>The spy conducted covert operations abroad.</t>
  </si>
  <si>
    <t>Covet</t>
  </si>
  <si>
    <t>to wish for enviously</t>
  </si>
  <si>
    <t>He coveted his neighbor's success.</t>
  </si>
  <si>
    <t>Credulous</t>
  </si>
  <si>
    <t>gullible</t>
  </si>
  <si>
    <t>The credulous man believed everything he read online.</t>
  </si>
  <si>
    <t>Criterion</t>
  </si>
  <si>
    <t>basis for judgment</t>
  </si>
  <si>
    <t>What is the main criterion for selecting candidates?</t>
  </si>
  <si>
    <t>Cryptic</t>
  </si>
  <si>
    <t>mysterious</t>
  </si>
  <si>
    <t>He left a cryptic message that no one could understand.</t>
  </si>
  <si>
    <t>Culinary</t>
  </si>
  <si>
    <t>relating to cooking or the kitchen</t>
  </si>
  <si>
    <t>She has excellent culinary skills.</t>
  </si>
  <si>
    <t>Culminate</t>
  </si>
  <si>
    <t>to reach full effect</t>
  </si>
  <si>
    <t>Years of training culminated in her Olympic gold medal.</t>
  </si>
  <si>
    <t>Culpable</t>
  </si>
  <si>
    <t>guilty</t>
  </si>
  <si>
    <t>He was found culpable for the accident.</t>
  </si>
  <si>
    <t>Cursory</t>
  </si>
  <si>
    <t>superficial</t>
  </si>
  <si>
    <t>A cursory glance at the report revealed several errors.</t>
  </si>
  <si>
    <t>Curtail</t>
  </si>
  <si>
    <t>The government curtailed spending due to the recession.</t>
  </si>
  <si>
    <t>Cynic</t>
  </si>
  <si>
    <t>one who believes humans are motivated only by selfishness</t>
  </si>
  <si>
    <t>The cynic doubted the politician's true motives.</t>
  </si>
  <si>
    <t>Daunt</t>
  </si>
  <si>
    <t>to intimidate</t>
  </si>
  <si>
    <t>Nothing could daunt her spirit.</t>
  </si>
  <si>
    <t>Dearth</t>
  </si>
  <si>
    <t>scarcity</t>
  </si>
  <si>
    <t>There is a dearth of qualified teachers in rural areas.</t>
  </si>
  <si>
    <t>Debacle</t>
  </si>
  <si>
    <t>overwhelming defeat</t>
  </si>
  <si>
    <t>The election was a debacle for the ruling party.</t>
  </si>
  <si>
    <t>Debauchery</t>
  </si>
  <si>
    <t>excessive intemperance</t>
  </si>
  <si>
    <t>He wasted his fortune on debauchery.</t>
  </si>
  <si>
    <t>Debilitate</t>
  </si>
  <si>
    <t>to weaken</t>
  </si>
  <si>
    <t>The long illness debilitated him completely.</t>
  </si>
  <si>
    <t>Decadent</t>
  </si>
  <si>
    <t>decaying in morals</t>
  </si>
  <si>
    <t>The decadent lifestyle of the nobles angered the poor.</t>
  </si>
  <si>
    <t>Decimate</t>
  </si>
  <si>
    <t>to kill or destroy a large part of</t>
  </si>
  <si>
    <t>The plague decimated the population.</t>
  </si>
  <si>
    <t>Decorous</t>
  </si>
  <si>
    <t>orderly</t>
  </si>
  <si>
    <t>The guests were expected to behave in a decorous manner.</t>
  </si>
  <si>
    <t>Deduce</t>
  </si>
  <si>
    <t>to conclude from the evidence</t>
  </si>
  <si>
    <t>From the clues, the detective deduced the killer's identity.</t>
  </si>
  <si>
    <t>Defame</t>
  </si>
  <si>
    <t>to ruin the good name of</t>
  </si>
  <si>
    <t>The false article defamed an innocent man.</t>
  </si>
  <si>
    <t>Deference</t>
  </si>
  <si>
    <t>submission to another's will</t>
  </si>
  <si>
    <t>He spoke with deference to the senior professor.</t>
  </si>
  <si>
    <t>Definitive</t>
  </si>
  <si>
    <t>conclusive</t>
  </si>
  <si>
    <t>This is the definitive guide to Bangla grammar.</t>
  </si>
  <si>
    <t>Degenerate</t>
  </si>
  <si>
    <t>to deteriorate</t>
  </si>
  <si>
    <t>The discussion degenerated into a shouting match.</t>
  </si>
  <si>
    <t>Deleterious</t>
  </si>
  <si>
    <t>harmful</t>
  </si>
  <si>
    <t>Smoking has deleterious effects on health.</t>
  </si>
  <si>
    <t>Delineate</t>
  </si>
  <si>
    <t>to describe accurately</t>
  </si>
  <si>
    <t>The contract clearly delineated the responsibilities of each party.</t>
  </si>
  <si>
    <t>Delude</t>
  </si>
  <si>
    <t>to deceive</t>
  </si>
  <si>
    <t>He deluded himself into thinking he would win.</t>
  </si>
  <si>
    <t>Deluge</t>
  </si>
  <si>
    <t>a flood</t>
  </si>
  <si>
    <t>The heavy rain caused a deluge in the low- lying areas.</t>
  </si>
  <si>
    <t>Demagogue</t>
  </si>
  <si>
    <t>a leader of the people who manipulates the
public</t>
  </si>
  <si>
    <t>The demagogue used fear to win the election.</t>
  </si>
  <si>
    <t>Denizen</t>
  </si>
  <si>
    <t>inhabitant</t>
  </si>
  <si>
    <t>The denizens of the village welcomed the visitors.</t>
  </si>
  <si>
    <t>Depravity</t>
  </si>
  <si>
    <t>extreme wickedness or corruption</t>
  </si>
  <si>
    <t>The court was shocked by the depravity of the crime.</t>
  </si>
  <si>
    <t>Deprecate</t>
  </si>
  <si>
    <t>to express disapproval of</t>
  </si>
  <si>
    <t>He deprecated the use of violence in any form.</t>
  </si>
  <si>
    <t>Deride</t>
  </si>
  <si>
    <t>to make fun of</t>
  </si>
  <si>
    <t>They derided his unusual fashion sense.</t>
  </si>
  <si>
    <t>Derogatory</t>
  </si>
  <si>
    <t>degrading</t>
  </si>
  <si>
    <t>Making derogatory comments about colleagues is unprofessional.</t>
  </si>
  <si>
    <t>Desiccate</t>
  </si>
  <si>
    <t>to dry out</t>
  </si>
  <si>
    <t>The hot sun desiccated the soil.</t>
  </si>
  <si>
    <t>Despondent</t>
  </si>
  <si>
    <t>extremely depressed</t>
  </si>
  <si>
    <t>He became despondent after failing the exam.</t>
  </si>
  <si>
    <t>Despot</t>
  </si>
  <si>
    <t>an absolute ruler</t>
  </si>
  <si>
    <t>The despot ruled through fear and oppression.</t>
  </si>
  <si>
    <t>Destitute</t>
  </si>
  <si>
    <t>utterly lacking</t>
  </si>
  <si>
    <t>After the flood, many families were left destitute.</t>
  </si>
  <si>
    <t>Desultory</t>
  </si>
  <si>
    <t>without a plan or purpose</t>
  </si>
  <si>
    <t>His desultory approach to work frustrated his manager.</t>
  </si>
  <si>
    <t>Dialectical</t>
  </si>
  <si>
    <t>approaching truth through discussions</t>
  </si>
  <si>
    <t>Their dialectical exchange of ideas helped resolve the issue.</t>
  </si>
  <si>
    <t>Dictum</t>
  </si>
  <si>
    <t>Follow the old dictum: work before play.</t>
  </si>
  <si>
    <t>Didactic</t>
  </si>
  <si>
    <t>morally instructive</t>
  </si>
  <si>
    <t>The film had a didactic message about honesty.</t>
  </si>
  <si>
    <t>Diffident</t>
  </si>
  <si>
    <t>lacking in self- confidence</t>
  </si>
  <si>
    <t>He was too diffident to speak up at the meeting.</t>
  </si>
  <si>
    <t>Digress</t>
  </si>
  <si>
    <t>to stray from the main subject</t>
  </si>
  <si>
    <t>The professor often digressed into personal anecdotes.</t>
  </si>
  <si>
    <t>Dilettante</t>
  </si>
  <si>
    <t>someone with superficial knowledge of the arts</t>
  </si>
  <si>
    <t>He was a dilettante who painted only for fun.</t>
  </si>
  <si>
    <t>Discern</t>
  </si>
  <si>
    <t>to perceive clearly</t>
  </si>
  <si>
    <t>It is hard to discern his true intentions.</t>
  </si>
  <si>
    <t>Discreet</t>
  </si>
  <si>
    <t>judiciously reserved</t>
  </si>
  <si>
    <t>She was discreet about her personal life.</t>
  </si>
  <si>
    <t>Discrete</t>
  </si>
  <si>
    <t>distinct</t>
  </si>
  <si>
    <t>These are two discrete issues and should not be confused.</t>
  </si>
  <si>
    <t>Discriminate</t>
  </si>
  <si>
    <t>to differentiate</t>
  </si>
  <si>
    <t>It is wrong to discriminate based on religion.</t>
  </si>
  <si>
    <t>Disdain</t>
  </si>
  <si>
    <t>arrogant scorn</t>
  </si>
  <si>
    <t>She looked at the dirty floor with disdain.</t>
  </si>
  <si>
    <t>Disinterested</t>
  </si>
  <si>
    <t>unbiased</t>
  </si>
  <si>
    <t>We need a disinterested judge to resolve this dispute.</t>
  </si>
  <si>
    <t>Disparage</t>
  </si>
  <si>
    <t>to belittle</t>
  </si>
  <si>
    <t>He often disparaged his colleagues behind their backs.</t>
  </si>
  <si>
    <t>Disparate</t>
  </si>
  <si>
    <t>different</t>
  </si>
  <si>
    <t>The committee has members with disparate backgrounds.</t>
  </si>
  <si>
    <t>Disseminate</t>
  </si>
  <si>
    <t>to scatter</t>
  </si>
  <si>
    <t>Social media disseminates news faster than TV.</t>
  </si>
  <si>
    <t>Dissipate</t>
  </si>
  <si>
    <t>to thin out, drift away, or dissolve</t>
  </si>
  <si>
    <t>The fog dissipated by midmorning.</t>
  </si>
  <si>
    <t>Dissolution</t>
  </si>
  <si>
    <t>the breaking up or dissolving of something into parts</t>
  </si>
  <si>
    <t>The dissolution of the partnership shocked the industry.</t>
  </si>
  <si>
    <t>Distend</t>
  </si>
  <si>
    <t>to extend greatly</t>
  </si>
  <si>
    <t>His stomach distended after the large meal.</t>
  </si>
  <si>
    <t>Distinguish</t>
  </si>
  <si>
    <t>to tell apart</t>
  </si>
  <si>
    <t>Can you distinguish between these two colours?</t>
  </si>
  <si>
    <t>Docile</t>
  </si>
  <si>
    <t>easily taught</t>
  </si>
  <si>
    <t>The docile child never caused any trouble.</t>
  </si>
  <si>
    <t>Doctrinaire</t>
  </si>
  <si>
    <t>dogmatic</t>
  </si>
  <si>
    <t>His doctrinaire approach made compromise impossible.</t>
  </si>
  <si>
    <t>Dogmatic</t>
  </si>
  <si>
    <t>arrogantly assertive of unproven ideas</t>
  </si>
  <si>
    <t>Her dogmatic beliefs prevented any open discussion.</t>
  </si>
  <si>
    <t>Domestic</t>
  </si>
  <si>
    <t>having to do with the household or family</t>
  </si>
  <si>
    <t>He enjoys domestic chores like cooking and cleaning.</t>
  </si>
  <si>
    <t>Dormant</t>
  </si>
  <si>
    <t>inactive</t>
  </si>
  <si>
    <t>The volcano has been dormant for 200 years.</t>
  </si>
  <si>
    <t>Dubious</t>
  </si>
  <si>
    <t>uncertain</t>
  </si>
  <si>
    <t>I'm dubious about his claim that he ran a marathon.</t>
  </si>
  <si>
    <t>Duplicity</t>
  </si>
  <si>
    <t>the act of being two- faced</t>
  </si>
  <si>
    <t>Her duplicity was eventually discovered.</t>
  </si>
  <si>
    <t>Ebullient</t>
  </si>
  <si>
    <t>bubbling with excitement</t>
  </si>
  <si>
    <t>The ebullient host welcomed every guest with energy.</t>
  </si>
  <si>
    <t>Eccentric</t>
  </si>
  <si>
    <t>not conventional</t>
  </si>
  <si>
    <t>He was an eccentric inventor who kept unusual hours.</t>
  </si>
  <si>
    <t>Eclectic</t>
  </si>
  <si>
    <t>drawn from many sources</t>
  </si>
  <si>
    <t>Her art style is eclectic, mixing Eastern and Western influences.</t>
  </si>
  <si>
    <t>Edify</t>
  </si>
  <si>
    <t>to instruct, especially in
moral or religious matters</t>
  </si>
  <si>
    <t>The documentary was designed to edify young viewers.</t>
  </si>
  <si>
    <t>Efface</t>
  </si>
  <si>
    <t>to rub away the features of</t>
  </si>
  <si>
    <t>Time had effaced the inscription on the gravestone.</t>
  </si>
  <si>
    <t>Effusion</t>
  </si>
  <si>
    <t>a pouring of</t>
  </si>
  <si>
    <t>Her effusion of gratitude moved everyone to tears.</t>
  </si>
  <si>
    <t>Egalitarian</t>
  </si>
  <si>
    <t>believing in the social and economic equality
of people</t>
  </si>
  <si>
    <t>She championed an egalitarian society.</t>
  </si>
  <si>
    <t>Egocentric</t>
  </si>
  <si>
    <t>selfish</t>
  </si>
  <si>
    <t>His egocentric behavior pushed everyone away.</t>
  </si>
  <si>
    <t>Egregious</t>
  </si>
  <si>
    <t>extremely bad</t>
  </si>
  <si>
    <t>The CEO made an egregious error in his financial report.</t>
  </si>
  <si>
    <t>Elicit</t>
  </si>
  <si>
    <t>to call forth</t>
  </si>
  <si>
    <t>The sad music elicited tears from the audience.</t>
  </si>
  <si>
    <t>Elliptical</t>
  </si>
  <si>
    <t>obscure</t>
  </si>
  <si>
    <t>Her elliptical remarks left everyone guessing.</t>
  </si>
  <si>
    <t>Elusive</t>
  </si>
  <si>
    <t>hard to pin down</t>
  </si>
  <si>
    <t>The solution to the problem remained elusive.</t>
  </si>
  <si>
    <t>Emigrate</t>
  </si>
  <si>
    <t>to move to a new country</t>
  </si>
  <si>
    <t>Many people emigrated from Bangladesh to seek better opportunities.</t>
  </si>
  <si>
    <t>Eminent</t>
  </si>
  <si>
    <t>outstanding</t>
  </si>
  <si>
    <t>He is an eminent scientist known worldwide.</t>
  </si>
  <si>
    <t>Empirical</t>
  </si>
  <si>
    <t>relying on experience or observation</t>
  </si>
  <si>
    <t>The results are based on empirical evidence.</t>
  </si>
  <si>
    <t>Emulate</t>
  </si>
  <si>
    <t>to strive to equal or excel, usually through imitation</t>
  </si>
  <si>
    <t>Young athletes emulate their sporting heroes.</t>
  </si>
  <si>
    <t>Encroach</t>
  </si>
  <si>
    <t>to make gradual inroads into</t>
  </si>
  <si>
    <t>The city is encroaching on rural farmland.</t>
  </si>
  <si>
    <t>Endemic</t>
  </si>
  <si>
    <t>Malaria is endemic to many tropical regions.</t>
  </si>
  <si>
    <t>Enervate</t>
  </si>
  <si>
    <t>to weaken gradually</t>
  </si>
  <si>
    <t>The long illness enervated him completely.</t>
  </si>
  <si>
    <t>Enfranchise</t>
  </si>
  <si>
    <t>to grant the privileges of citizenship, especially the right to
vote</t>
  </si>
  <si>
    <t>Women were enfranchised in the early 20th century.</t>
  </si>
  <si>
    <t>Engender</t>
  </si>
  <si>
    <t>to cause</t>
  </si>
  <si>
    <t>Poverty engenders crime in many societies.</t>
  </si>
  <si>
    <t>Enigma</t>
  </si>
  <si>
    <t>a mystery</t>
  </si>
  <si>
    <t>His true motive remains an enigma.</t>
  </si>
  <si>
    <t>Enormity</t>
  </si>
  <si>
    <t>extreme evil</t>
  </si>
  <si>
    <t>The enormity of the tragedy left people speechless.</t>
  </si>
  <si>
    <t>Ephemeral</t>
  </si>
  <si>
    <t>lasting a very short time</t>
  </si>
  <si>
    <t>Fame can be ephemeral in the social media age.</t>
  </si>
  <si>
    <t>Epigram</t>
  </si>
  <si>
    <t>a brief and usually witty or satirical saying</t>
  </si>
  <si>
    <t>Oscar Wilde was famous for his sharp epigrams.</t>
  </si>
  <si>
    <t>Epitome</t>
  </si>
  <si>
    <t>a brief summary that captures the meaning of
the whole</t>
  </si>
  <si>
    <t>She is the epitome of grace and elegance.</t>
  </si>
  <si>
    <t>Equanimity</t>
  </si>
  <si>
    <t>calm</t>
  </si>
  <si>
    <t>He accepted the news with remarkable equanimity.</t>
  </si>
  <si>
    <t>Equitable</t>
  </si>
  <si>
    <t>fair</t>
  </si>
  <si>
    <t>We need an equitable distribution of resources.</t>
  </si>
  <si>
    <t>Equivocal</t>
  </si>
  <si>
    <t>capable of being interpreted in more
than one way</t>
  </si>
  <si>
    <t>His equivocal response confused the reporters.</t>
  </si>
  <si>
    <t>Erudite</t>
  </si>
  <si>
    <t>scholarly</t>
  </si>
  <si>
    <t>She is an erudite professor with decades of experience.</t>
  </si>
  <si>
    <t>Esoteric</t>
  </si>
  <si>
    <t>hard to understand</t>
  </si>
  <si>
    <t>The book was too esoteric for general readers.</t>
  </si>
  <si>
    <t>Espouse</t>
  </si>
  <si>
    <t>to support</t>
  </si>
  <si>
    <t>She espouses the cause of gender equality.</t>
  </si>
  <si>
    <t>Ethereal</t>
  </si>
  <si>
    <t>heavenly</t>
  </si>
  <si>
    <t>The music had an ethereal quality that moved the audience.</t>
  </si>
  <si>
    <t>Euphemism</t>
  </si>
  <si>
    <t>a pleasant expression
used in place of an unpleasant one</t>
  </si>
  <si>
    <t>Saying 'passed away' instead of 'died' is a euphemism.</t>
  </si>
  <si>
    <t>Evanescent</t>
  </si>
  <si>
    <t>happening for only a brief period</t>
  </si>
  <si>
    <t>The morning dew is evanescent in summer.</t>
  </si>
  <si>
    <t>Exacerbate</t>
  </si>
  <si>
    <t>to make worse</t>
  </si>
  <si>
    <t>Taking medicine without food will exacerbate the side effects.</t>
  </si>
  <si>
    <t>Exacting</t>
  </si>
  <si>
    <t>extremely demanding</t>
  </si>
  <si>
    <t>The professor had exacting standards for written work.</t>
  </si>
  <si>
    <t>Exalt</t>
  </si>
  <si>
    <t>to glorify</t>
  </si>
  <si>
    <t>The crowd exalted their champion.</t>
  </si>
  <si>
    <t>Exasperate</t>
  </si>
  <si>
    <t>to annoy</t>
  </si>
  <si>
    <t>His constant complaints exasperated the whole team.</t>
  </si>
  <si>
    <t>Exemplify</t>
  </si>
  <si>
    <t>to serve as an example</t>
  </si>
  <si>
    <t>Her dedication exemplifies what it means to be a good teacher.</t>
  </si>
  <si>
    <t>Exhaustive</t>
  </si>
  <si>
    <t>thorough</t>
  </si>
  <si>
    <t>The police conducted an exhaustive investigation.</t>
  </si>
  <si>
    <t>Exhort</t>
  </si>
  <si>
    <t>to urge strongly</t>
  </si>
  <si>
    <t>The coach exhorted the players to give their best.</t>
  </si>
  <si>
    <t>Exigency</t>
  </si>
  <si>
    <t>an emergency</t>
  </si>
  <si>
    <t>He acted quickly in the exigency of the moment.</t>
  </si>
  <si>
    <t>Existential</t>
  </si>
  <si>
    <t>the thought that human
beings are responsible for their own actions</t>
  </si>
  <si>
    <t>He faced an existential crisis in his thirties.</t>
  </si>
  <si>
    <t>Exonerate</t>
  </si>
  <si>
    <t>New evidence exonerated the wrongly convicted man.</t>
  </si>
  <si>
    <t>Expatriate</t>
  </si>
  <si>
    <t>to move away from one's native land</t>
  </si>
  <si>
    <t>He lived as an expatriate in Dubai for ten years.</t>
  </si>
  <si>
    <t>Expedient</t>
  </si>
  <si>
    <t>practical</t>
  </si>
  <si>
    <t>It was expedient to take the faster route.</t>
  </si>
  <si>
    <t>Expedite</t>
  </si>
  <si>
    <t>to speed up or ease the progress of</t>
  </si>
  <si>
    <t>He called the office to expedite his application.</t>
  </si>
  <si>
    <t>Explicit</t>
  </si>
  <si>
    <t>clearly and directly expressed</t>
  </si>
  <si>
    <t>The instructions were explicit about what to do.</t>
  </si>
  <si>
    <t>Extol</t>
  </si>
  <si>
    <t>to praise</t>
  </si>
  <si>
    <t>The media extolled her achievements.</t>
  </si>
  <si>
    <t>Extraneous</t>
  </si>
  <si>
    <t>unnecessary</t>
  </si>
  <si>
    <t>Please remove all extraneous information from the report.</t>
  </si>
  <si>
    <t>Extrapolate</t>
  </si>
  <si>
    <t>to project or deduce from something known</t>
  </si>
  <si>
    <t>From the data, he extrapolated future trends.</t>
  </si>
  <si>
    <t>Extricate</t>
  </si>
  <si>
    <t>to free from difficulty</t>
  </si>
  <si>
    <t>He struggled to extricate himself from the mess.</t>
  </si>
  <si>
    <t>Extrovert</t>
  </si>
  <si>
    <t>an open, outgoing person</t>
  </si>
  <si>
    <t>As an extrovert, she loved being around people.</t>
  </si>
  <si>
    <t>Exult</t>
  </si>
  <si>
    <t>to rejoice</t>
  </si>
  <si>
    <t>The crowd exulted as the team scored the winning goal.</t>
  </si>
  <si>
    <t>Fabrication</t>
  </si>
  <si>
    <t>a lie</t>
  </si>
  <si>
    <t>His whole alibi was a fabrication.</t>
  </si>
  <si>
    <t>Facetious</t>
  </si>
  <si>
    <t>humorous</t>
  </si>
  <si>
    <t>Stop being facetious and give me a serious answer.</t>
  </si>
  <si>
    <t>Facile</t>
  </si>
  <si>
    <t>superficial; fluent</t>
  </si>
  <si>
    <t>His facile explanation ignored the real complexity.</t>
  </si>
  <si>
    <t>Faction</t>
  </si>
  <si>
    <t>a small group within a larger group, united
around some cause</t>
  </si>
  <si>
    <t>A powerful faction within the party opposed the reform.</t>
  </si>
  <si>
    <t>Farcical</t>
  </si>
  <si>
    <t>absurd</t>
  </si>
  <si>
    <t>The trial became farcical when witnesses contradicted each other.</t>
  </si>
  <si>
    <t>Fastidious</t>
  </si>
  <si>
    <t>meticulous</t>
  </si>
  <si>
    <t>She was fastidious about keeping her desk organized.</t>
  </si>
  <si>
    <t>Fatalist</t>
  </si>
  <si>
    <t>someone who believes that future events are already determined and that humans are
powerless to change them</t>
  </si>
  <si>
    <t>As a fatalist, he believed nothing could be changed.</t>
  </si>
  <si>
    <t>Fatuous</t>
  </si>
  <si>
    <t>foolish</t>
  </si>
  <si>
    <t>His fatuous comment drew laughter from the room.</t>
  </si>
  <si>
    <t>Fauna</t>
  </si>
  <si>
    <t>animals</t>
  </si>
  <si>
    <t>The national park protects the rich local fauna.</t>
  </si>
  <si>
    <t>Fecund</t>
  </si>
  <si>
    <t>productive</t>
  </si>
  <si>
    <t>The fecund soil produced an abundant harvest.</t>
  </si>
  <si>
    <t>Felicity</t>
  </si>
  <si>
    <t>happiness</t>
  </si>
  <si>
    <t>She found felicity in simple things.</t>
  </si>
  <si>
    <t>Fervor</t>
  </si>
  <si>
    <t>ardor</t>
  </si>
  <si>
    <t>He spoke about independence with great fervor.</t>
  </si>
  <si>
    <t>Fetter</t>
  </si>
  <si>
    <t>to restrain</t>
  </si>
  <si>
    <t>He was fettered by old-fashioned thinking.</t>
  </si>
  <si>
    <t>Fidelity</t>
  </si>
  <si>
    <t>Dogs are known for their fidelity to their owners.</t>
  </si>
  <si>
    <t>Figurative</t>
  </si>
  <si>
    <t>metaphorical</t>
  </si>
  <si>
    <t>He spoke in figurative language full of metaphors.</t>
  </si>
  <si>
    <t>Finesse</t>
  </si>
  <si>
    <t>subtlety</t>
  </si>
  <si>
    <t>She handled the difficult situation with great finesse.</t>
  </si>
  <si>
    <t>Flagrant</t>
  </si>
  <si>
    <t>scandalous, obvious</t>
  </si>
  <si>
    <t>His flagrant disregard for rules got him expelled.</t>
  </si>
  <si>
    <t>Flaunt</t>
  </si>
  <si>
    <t>to brag</t>
  </si>
  <si>
    <t>She flaunted her new car in front of her neighbors.</t>
  </si>
  <si>
    <t>Flout</t>
  </si>
  <si>
    <t>to disregard something out of disrespect</t>
  </si>
  <si>
    <t>He flouted the dress code at the formal event.</t>
  </si>
  <si>
    <t>Foible</t>
  </si>
  <si>
    <t>a minor character flaw</t>
  </si>
  <si>
    <t>His only foible is being occasionally late.</t>
  </si>
  <si>
    <t>Foment</t>
  </si>
  <si>
    <t>to stir up</t>
  </si>
  <si>
    <t>The agent tried to foment rebellion among the workers.</t>
  </si>
  <si>
    <t>Forbear</t>
  </si>
  <si>
    <t>He forbore from commenting despite his frustration.</t>
  </si>
  <si>
    <t>Forgo</t>
  </si>
  <si>
    <t>to do without</t>
  </si>
  <si>
    <t>She decided to forgo dessert to stay healthy.</t>
  </si>
  <si>
    <t>Forsake</t>
  </si>
  <si>
    <t>to abandon</t>
  </si>
  <si>
    <t>He forsook his hometown to move to the capital.</t>
  </si>
  <si>
    <t>Fortuitous</t>
  </si>
  <si>
    <t>Their meeting was fortuitous — both were stranded at the airport.</t>
  </si>
  <si>
    <t>Founder</t>
  </si>
  <si>
    <t>to collapse</t>
  </si>
  <si>
    <t>The business foundered due to poor management.</t>
  </si>
  <si>
    <t>Fraternal</t>
  </si>
  <si>
    <t>like brothers</t>
  </si>
  <si>
    <t>They shared a fraternal bond despite not being related.</t>
  </si>
  <si>
    <t>Frenetic</t>
  </si>
  <si>
    <t>fast and energetic in a rather wild and
uncontrolled way</t>
  </si>
  <si>
    <t>The office was in a frenetic rush before the deadline.</t>
  </si>
  <si>
    <t>Frugal</t>
  </si>
  <si>
    <t>economical</t>
  </si>
  <si>
    <t>His frugal lifestyle allowed him to save money.</t>
  </si>
  <si>
    <t>Furtive</t>
  </si>
  <si>
    <t>secretive</t>
  </si>
  <si>
    <t>He cast a furtive glance around before entering.</t>
  </si>
  <si>
    <t>Futile</t>
  </si>
  <si>
    <t>useless; hopeless</t>
  </si>
  <si>
    <t>All attempts to save the sinking ship were futile.</t>
  </si>
  <si>
    <t>Garrulous</t>
  </si>
  <si>
    <t>talkative</t>
  </si>
  <si>
    <t>The garrulous neighbor talked for hours without stopping.</t>
  </si>
  <si>
    <t>Genre</t>
  </si>
  <si>
    <t>a type, especially of art or writing</t>
  </si>
  <si>
    <t>Mystery is her favorite literary genre.</t>
  </si>
  <si>
    <t>Genteel</t>
  </si>
  <si>
    <t>refined</t>
  </si>
  <si>
    <t>The genteel lady never raised her voice.</t>
  </si>
  <si>
    <t>Gesticulate</t>
  </si>
  <si>
    <t>to make gestures, especially when speaking or in place of
speaking</t>
  </si>
  <si>
    <t>He gesticulated wildly as he explained his idea.</t>
  </si>
  <si>
    <t>Glut</t>
  </si>
  <si>
    <t>surplus</t>
  </si>
  <si>
    <t>There is a glut of unsold houses on the market.</t>
  </si>
  <si>
    <t>Grandiloquent</t>
  </si>
  <si>
    <t>using a lot of big, fancy words in an attempt to sound impressive</t>
  </si>
  <si>
    <t>His grandiloquent speech was more style than substance.</t>
  </si>
  <si>
    <t>Grandiose</t>
  </si>
  <si>
    <t>absurdly exaggerated</t>
  </si>
  <si>
    <t>His grandiose plans never came to fruition.</t>
  </si>
  <si>
    <t>Gratuitous</t>
  </si>
  <si>
    <t>uncalled for</t>
  </si>
  <si>
    <t>The film contained gratuitous violence.</t>
  </si>
  <si>
    <t>Gravity</t>
  </si>
  <si>
    <t>seriousness</t>
  </si>
  <si>
    <t>He understood the gravity of the situation.</t>
  </si>
  <si>
    <t>Gregarious</t>
  </si>
  <si>
    <t>sociable</t>
  </si>
  <si>
    <t>She is a gregarious person who makes friends easily.</t>
  </si>
  <si>
    <t>Guile</t>
  </si>
  <si>
    <t>duplicity</t>
  </si>
  <si>
    <t>He used guile to get what he wanted.</t>
  </si>
  <si>
    <t>Hackneyed</t>
  </si>
  <si>
    <t>overused</t>
  </si>
  <si>
    <t>The speech was full of hackneyed phrases.</t>
  </si>
  <si>
    <t>Hapless</t>
  </si>
  <si>
    <t>unlucky</t>
  </si>
  <si>
    <t>The hapless traveler missed every connection.</t>
  </si>
  <si>
    <t>Harbinger</t>
  </si>
  <si>
    <t>a signal of</t>
  </si>
  <si>
    <t>Dark clouds are a harbinger of rain.</t>
  </si>
  <si>
    <t>Hedonism</t>
  </si>
  <si>
    <t>to chase after pleasure as a way of life</t>
  </si>
  <si>
    <t>His philosophy was one of pure hedonism.</t>
  </si>
  <si>
    <t>Hegemony</t>
  </si>
  <si>
    <t>leadership, especially of one nation over
another</t>
  </si>
  <si>
    <t>The country sought to maintain hegemony in the region.</t>
  </si>
  <si>
    <t>Heresy</t>
  </si>
  <si>
    <t>any belief that is strongly opposed to
established beliefs</t>
  </si>
  <si>
    <t>In medieval times, science was often called heresy.</t>
  </si>
  <si>
    <t>Hermetic</t>
  </si>
  <si>
    <t>unable to be affected by external influence</t>
  </si>
  <si>
    <t>The container was hermetically sealed.</t>
  </si>
  <si>
    <t>Heyday</t>
  </si>
  <si>
    <t>golden age</t>
  </si>
  <si>
    <t>In its heyday, the studio produced dozens of hits.</t>
  </si>
  <si>
    <t>Hiatus</t>
  </si>
  <si>
    <t>a break or interruption, often from work</t>
  </si>
  <si>
    <t>The band returned after a two-year hiatus.</t>
  </si>
  <si>
    <t>Hierarchy</t>
  </si>
  <si>
    <t>an organization based on rank or degree</t>
  </si>
  <si>
    <t>He climbed the corporate hierarchy quickly.</t>
  </si>
  <si>
    <t>Histrionic</t>
  </si>
  <si>
    <t>overly dramatic</t>
  </si>
  <si>
    <t>Her histrionic reaction to the news embarrassed her family.</t>
  </si>
  <si>
    <t>Homily</t>
  </si>
  <si>
    <t>a sermon</t>
  </si>
  <si>
    <t>The priest delivered a lengthy homily on forgiveness.</t>
  </si>
  <si>
    <t>Homogeneous</t>
  </si>
  <si>
    <t>made entirely of one thing</t>
  </si>
  <si>
    <t>The community was largely homogeneous in culture.</t>
  </si>
  <si>
    <t>Husbandry</t>
  </si>
  <si>
    <t>thrifty management of resources</t>
  </si>
  <si>
    <t>Good husbandry is key to a productive farm.</t>
  </si>
  <si>
    <t>Hyperbole</t>
  </si>
  <si>
    <t>exaggeration</t>
  </si>
  <si>
    <t>Saying 'I've told you a million times' is a hyperbole.</t>
  </si>
  <si>
    <t>Hypothetical</t>
  </si>
  <si>
    <t>Let's discuss a hypothetical scenario.</t>
  </si>
  <si>
    <t>Iconoclast</t>
  </si>
  <si>
    <t>one who attacks
popular beliefs or institutions</t>
  </si>
  <si>
    <t>He was an iconoclast who challenged every tradition.</t>
  </si>
  <si>
    <t>Ideology</t>
  </si>
  <si>
    <t>a system of social or political ideas</t>
  </si>
  <si>
    <t>Democracy is the dominant ideology in many countries.</t>
  </si>
  <si>
    <t>Idiosyncrasy</t>
  </si>
  <si>
    <t>an eccentricity</t>
  </si>
  <si>
    <t>One of his idiosyncrasies is talking to plants.</t>
  </si>
  <si>
    <t>Idyllic</t>
  </si>
  <si>
    <t>charming in a rustic way</t>
  </si>
  <si>
    <t>They spent an idyllic summer by the lake.</t>
  </si>
  <si>
    <t>Ignominy</t>
  </si>
  <si>
    <t>deep disgrace</t>
  </si>
  <si>
    <t>He left office in ignominy.</t>
  </si>
  <si>
    <t>Illicit</t>
  </si>
  <si>
    <t>illegal</t>
  </si>
  <si>
    <t>He was caught trading in illicit goods.</t>
  </si>
  <si>
    <t>Imminent</t>
  </si>
  <si>
    <t>just about to happen</t>
  </si>
  <si>
    <t>An imminent storm prompted evacuation warnings.</t>
  </si>
  <si>
    <t>Immutable</t>
  </si>
  <si>
    <t>unchangeable</t>
  </si>
  <si>
    <t>The laws of physics are essentially immutable.</t>
  </si>
  <si>
    <t>Impartial</t>
  </si>
  <si>
    <t>A judge must be impartial when hearing a case.</t>
  </si>
  <si>
    <t>Impeccable</t>
  </si>
  <si>
    <t>flawless</t>
  </si>
  <si>
    <t>Her impeccable taste in fashion was admired.</t>
  </si>
  <si>
    <t>Imperial</t>
  </si>
  <si>
    <t>like an emperor or an empire</t>
  </si>
  <si>
    <t>The imperial palace was open to tourists.</t>
  </si>
  <si>
    <t>Impervious</t>
  </si>
  <si>
    <t>impenetrable</t>
  </si>
  <si>
    <t>He seemed impervious to criticism.</t>
  </si>
  <si>
    <t>Impetuous</t>
  </si>
  <si>
    <t>extremely impatient</t>
  </si>
  <si>
    <t>His impetuous decision led to serious regrets.</t>
  </si>
  <si>
    <t>Implement</t>
  </si>
  <si>
    <t>to carry out</t>
  </si>
  <si>
    <t>The government will implement the new policy next year.</t>
  </si>
  <si>
    <t>Impotent</t>
  </si>
  <si>
    <t>powerless</t>
  </si>
  <si>
    <t>He felt impotent in the face of injustice.</t>
  </si>
  <si>
    <t>Impugn</t>
  </si>
  <si>
    <t>to attack, especially to attack the truth or integrity of something</t>
  </si>
  <si>
    <t>She impugned his motives in front of the committee.</t>
  </si>
  <si>
    <t>Inane</t>
  </si>
  <si>
    <t>silly</t>
  </si>
  <si>
    <t>Stop making inane remarks.</t>
  </si>
  <si>
    <t>Inaugurate</t>
  </si>
  <si>
    <t>to induct formally into office</t>
  </si>
  <si>
    <t>The new bridge was inaugurated by the president.</t>
  </si>
  <si>
    <t>Incandescent</t>
  </si>
  <si>
    <t>brilliant</t>
  </si>
  <si>
    <t>She gave an incandescent performance on stage.</t>
  </si>
  <si>
    <t>Incantation</t>
  </si>
  <si>
    <t>a chant</t>
  </si>
  <si>
    <t>The wizard repeated an incantation over the potion.</t>
  </si>
  <si>
    <t>Incense</t>
  </si>
  <si>
    <t>to make very angry</t>
  </si>
  <si>
    <t>His rude behavior incensed the entire crowd.</t>
  </si>
  <si>
    <t>Incessant</t>
  </si>
  <si>
    <t>unceasing</t>
  </si>
  <si>
    <t>The incessant noise from the construction kept her awake.</t>
  </si>
  <si>
    <t>Incipient</t>
  </si>
  <si>
    <t>emerging</t>
  </si>
  <si>
    <t>Doctors detected an incipient infection.</t>
  </si>
  <si>
    <t>Incisive</t>
  </si>
  <si>
    <t>cutting right to the heart of the matter</t>
  </si>
  <si>
    <t>Her incisive analysis identified the core problem.</t>
  </si>
  <si>
    <t>Incongruous</t>
  </si>
  <si>
    <t>not consistent</t>
  </si>
  <si>
    <t>The modern sculpture looked incongruous in the old building.</t>
  </si>
  <si>
    <t>Incorrigible</t>
  </si>
  <si>
    <t>incapable of being reformed</t>
  </si>
  <si>
    <t>He was an incorrigible liar.</t>
  </si>
  <si>
    <t>Increment</t>
  </si>
  <si>
    <t>one in a series of increases</t>
  </si>
  <si>
    <t>Salary increments are awarded annually.</t>
  </si>
  <si>
    <t>Indifferent</t>
  </si>
  <si>
    <t>not caring one way or the other</t>
  </si>
  <si>
    <t>She seemed indifferent to their disapproval.</t>
  </si>
  <si>
    <t>Indigenous</t>
  </si>
  <si>
    <t>The indigenous tribes have lived here for centuries.</t>
  </si>
  <si>
    <t>Indigent</t>
  </si>
  <si>
    <t>poor</t>
  </si>
  <si>
    <t>The clinic provides free care to indigent patients.</t>
  </si>
  <si>
    <t>Indignant</t>
  </si>
  <si>
    <t>angry, especially as a result of something unjust or unworthy</t>
  </si>
  <si>
    <t>She was indignant at the false accusations.</t>
  </si>
  <si>
    <t>Indolent</t>
  </si>
  <si>
    <t>lazy</t>
  </si>
  <si>
    <t>The indolent student rarely completed assignments.</t>
  </si>
  <si>
    <t>Indulgent</t>
  </si>
  <si>
    <t>yielding to desire</t>
  </si>
  <si>
    <t>She was indulgent toward her grandchildren.</t>
  </si>
  <si>
    <t>Ineffable</t>
  </si>
  <si>
    <t>incapable of being expressed or described</t>
  </si>
  <si>
    <t>The beauty of the sunset was ineffable.</t>
  </si>
  <si>
    <t>Inept</t>
  </si>
  <si>
    <t>clumsy</t>
  </si>
  <si>
    <t>He was inept at managing people.</t>
  </si>
  <si>
    <t>Inert</t>
  </si>
  <si>
    <t>The inert gas does not react with other chemicals.</t>
  </si>
  <si>
    <t>Inexorable</t>
  </si>
  <si>
    <t>inevitable</t>
  </si>
  <si>
    <t>The inexorable march of time stops for no one.</t>
  </si>
  <si>
    <t>Infamous</t>
  </si>
  <si>
    <t>having an extremely bad reputation</t>
  </si>
  <si>
    <t>Al Capone was infamous for his criminal empire.</t>
  </si>
  <si>
    <t>Infatuated</t>
  </si>
  <si>
    <t>foolishly passionate or attracted</t>
  </si>
  <si>
    <t>He was infatuated with the actress.</t>
  </si>
  <si>
    <t>Infer</t>
  </si>
  <si>
    <t>to conclude</t>
  </si>
  <si>
    <t>From the evidence, the detective inferred the motive.</t>
  </si>
  <si>
    <t>Infinitesimal</t>
  </si>
  <si>
    <t>very very small</t>
  </si>
  <si>
    <t>The chance of error was infinitesimal.</t>
  </si>
  <si>
    <t>Ingenuous</t>
  </si>
  <si>
    <t>charmingly naive</t>
  </si>
  <si>
    <t>Her ingenuous smile disarmed everyone.</t>
  </si>
  <si>
    <t>Inherent</t>
  </si>
  <si>
    <t>part of the essential nature of something</t>
  </si>
  <si>
    <t>Risk is inherent in any investment.</t>
  </si>
  <si>
    <t>Injunction</t>
  </si>
  <si>
    <t>a command or order, especially a court order</t>
  </si>
  <si>
    <t>The court issued an injunction to stop the construction.</t>
  </si>
  <si>
    <t>Innate</t>
  </si>
  <si>
    <t>existing since birth</t>
  </si>
  <si>
    <t>She has an innate talent for music.</t>
  </si>
  <si>
    <t>Innocuous</t>
  </si>
  <si>
    <t>harmless; banal</t>
  </si>
  <si>
    <t>The remark seemed innocuous but caused offense.</t>
  </si>
  <si>
    <t>Inordinate</t>
  </si>
  <si>
    <t>excessive; unreasonable</t>
  </si>
  <si>
    <t>She spent an inordinate amount of time on the project.</t>
  </si>
  <si>
    <t>Insatiable</t>
  </si>
  <si>
    <t>impossible to satisfy</t>
  </si>
  <si>
    <t>He had an insatiable appetite for knowledge.</t>
  </si>
  <si>
    <t>Insidious</t>
  </si>
  <si>
    <t>sneaky</t>
  </si>
  <si>
    <t>The disease spreads in an insidious way.</t>
  </si>
  <si>
    <t>Insinuate</t>
  </si>
  <si>
    <t>to hint</t>
  </si>
  <si>
    <t>Are you insinuating that I lied?</t>
  </si>
  <si>
    <t>Insipid</t>
  </si>
  <si>
    <t>dull</t>
  </si>
  <si>
    <t>The food was insipid and tasteless.</t>
  </si>
  <si>
    <t>Insolent</t>
  </si>
  <si>
    <t>arrogant</t>
  </si>
  <si>
    <t>The insolent student argued back at the teacher.</t>
  </si>
  <si>
    <t>Instigate</t>
  </si>
  <si>
    <t>to provoke</t>
  </si>
  <si>
    <t>He instigated the fight by making rude comments.</t>
  </si>
  <si>
    <t>Insular</t>
  </si>
  <si>
    <t>isolated</t>
  </si>
  <si>
    <t>Their insular community was resistant to change.</t>
  </si>
  <si>
    <t>Insurgent</t>
  </si>
  <si>
    <t>a rebel against a government</t>
  </si>
  <si>
    <t>The insurgents attacked the military convoy.</t>
  </si>
  <si>
    <t>Integral</t>
  </si>
  <si>
    <t>essential</t>
  </si>
  <si>
    <t>Trust is integral to any good relationship.</t>
  </si>
  <si>
    <t>Intractable</t>
  </si>
  <si>
    <t>disobedient</t>
  </si>
  <si>
    <t>The intractable child refused to cooperate.</t>
  </si>
  <si>
    <t>Intransigent</t>
  </si>
  <si>
    <t>His intransigent stance blocked negotiations.</t>
  </si>
  <si>
    <t>Intrinsic</t>
  </si>
  <si>
    <t>inherent</t>
  </si>
  <si>
    <t>Gold has intrinsic value beyond its market price.</t>
  </si>
  <si>
    <t>Introspective</t>
  </si>
  <si>
    <t>tending to think about oneself</t>
  </si>
  <si>
    <t>He grew more introspective after his illness.</t>
  </si>
  <si>
    <t>Inundate</t>
  </si>
  <si>
    <t>to flood</t>
  </si>
  <si>
    <t>The office was inundated with complaint letters.</t>
  </si>
  <si>
    <t>Invective</t>
  </si>
  <si>
    <t>insulting or abusive speech</t>
  </si>
  <si>
    <t>His speech descended into invective.</t>
  </si>
  <si>
    <t>Inveterate</t>
  </si>
  <si>
    <t>habitual</t>
  </si>
  <si>
    <t>He is an inveterate gambler.</t>
  </si>
  <si>
    <t>Irascible</t>
  </si>
  <si>
    <t>easily angered or provoked</t>
  </si>
  <si>
    <t>The irascible professor frightened new students.</t>
  </si>
  <si>
    <t>Ironic</t>
  </si>
  <si>
    <t>meaning the opposite of what you seem to say</t>
  </si>
  <si>
    <t>It was ironic that the fire station burned down.</t>
  </si>
  <si>
    <t>Irrevocable</t>
  </si>
  <si>
    <t>irreversible</t>
  </si>
  <si>
    <t>His departure was irrevocable.</t>
  </si>
  <si>
    <t>Itinerant</t>
  </si>
  <si>
    <t>moving from place to place</t>
  </si>
  <si>
    <t>The itinerant vendor sold vegetables door to door.</t>
  </si>
  <si>
    <t>Judicious</t>
  </si>
  <si>
    <t>exercising sound judgment</t>
  </si>
  <si>
    <t>She made a judicious choice in selecting her team.</t>
  </si>
  <si>
    <t>Juxtapose</t>
  </si>
  <si>
    <t>to place side by side</t>
  </si>
  <si>
    <t>The artist juxtaposed dark and light colors.</t>
  </si>
  <si>
    <t>Kinetic</t>
  </si>
  <si>
    <t>having to do with motion</t>
  </si>
  <si>
    <t>Kinetic energy is the energy of a moving object.</t>
  </si>
  <si>
    <t>Labyrinth</t>
  </si>
  <si>
    <t>a maze</t>
  </si>
  <si>
    <t>The old city was a labyrinth of narrow streets.</t>
  </si>
  <si>
    <t>Laconic</t>
  </si>
  <si>
    <t>using few words, especially to the point
of seeming rude</t>
  </si>
  <si>
    <t>His laconic reply was just: 'No.'</t>
  </si>
  <si>
    <t>Lament</t>
  </si>
  <si>
    <t>to mourn</t>
  </si>
  <si>
    <t>She lamented the loss of her dear friend.</t>
  </si>
  <si>
    <t>Lampoon</t>
  </si>
  <si>
    <t>to mock</t>
  </si>
  <si>
    <t>The comedian lampooned the politician's speeches.</t>
  </si>
  <si>
    <t>Languish</t>
  </si>
  <si>
    <t>to become weak or depressed</t>
  </si>
  <si>
    <t>The prisoners languished in terrible conditions.</t>
  </si>
  <si>
    <t>Largess</t>
  </si>
  <si>
    <t>generosity</t>
  </si>
  <si>
    <t>The billionaire's largess funded many schools.</t>
  </si>
  <si>
    <t>Latent</t>
  </si>
  <si>
    <t>present but not visible</t>
  </si>
  <si>
    <t>She had a latent talent for painting.</t>
  </si>
  <si>
    <t>Laud</t>
  </si>
  <si>
    <t>The critics lauded his debut novel.</t>
  </si>
  <si>
    <t>Legacy</t>
  </si>
  <si>
    <t>something handed down from the past</t>
  </si>
  <si>
    <t>His legacy lives on through his students.</t>
  </si>
  <si>
    <t>Lethargy</t>
  </si>
  <si>
    <t>sluggishness</t>
  </si>
  <si>
    <t>The hot weather caused general lethargy.</t>
  </si>
  <si>
    <t>Levity</t>
  </si>
  <si>
    <t>lightness</t>
  </si>
  <si>
    <t>A little levity helped ease the tension in the room.</t>
  </si>
  <si>
    <t>Libel</t>
  </si>
  <si>
    <t>a written or published falsehood that injures
the reputation of someone</t>
  </si>
  <si>
    <t>The newspaper was sued for libel.</t>
  </si>
  <si>
    <t>Litigate</t>
  </si>
  <si>
    <t>to try in court</t>
  </si>
  <si>
    <t>They decided to litigate rather than settle.</t>
  </si>
  <si>
    <t>Loquacious</t>
  </si>
  <si>
    <t>talking a lot or too much</t>
  </si>
  <si>
    <t>The loquacious host dominated every conversation.</t>
  </si>
  <si>
    <t>Lucid</t>
  </si>
  <si>
    <t>clear</t>
  </si>
  <si>
    <t>The professor gave a lucid explanation.</t>
  </si>
  <si>
    <t>Lugubrious</t>
  </si>
  <si>
    <t>exaggeratedly mournful</t>
  </si>
  <si>
    <t>He spoke in a lugubrious tone that depressed everyone.</t>
  </si>
  <si>
    <t>Luminous</t>
  </si>
  <si>
    <t>glowing</t>
  </si>
  <si>
    <t>The moon was luminous in the clear sky.</t>
  </si>
  <si>
    <t>Machination</t>
  </si>
  <si>
    <t>scheming activity for an evil purpose</t>
  </si>
  <si>
    <t>The villain's machinations finally came to light.</t>
  </si>
  <si>
    <t>Magnanimous</t>
  </si>
  <si>
    <t>forgiving</t>
  </si>
  <si>
    <t>Despite being wronged, he was magnanimous in victory.</t>
  </si>
  <si>
    <t>Magnate</t>
  </si>
  <si>
    <t>a rich, powerful, or very successful
business person</t>
  </si>
  <si>
    <t>He became an oil magnate by age forty.</t>
  </si>
  <si>
    <t>Malaise</t>
  </si>
  <si>
    <t>a feeling of depression, uneasiness</t>
  </si>
  <si>
    <t>The country was gripped by a general malaise.</t>
  </si>
  <si>
    <t>Malfeasance</t>
  </si>
  <si>
    <t>an illegal act, especially by a public official</t>
  </si>
  <si>
    <t>The minister was charged with malfeasance.</t>
  </si>
  <si>
    <t>Malinger</t>
  </si>
  <si>
    <t>to pretend to be sick to avoid doing work</t>
  </si>
  <si>
    <t>He malingered for weeks to avoid the project.</t>
  </si>
  <si>
    <t>Malleable</t>
  </si>
  <si>
    <t>easy to shape or bend</t>
  </si>
  <si>
    <t>Gold is a malleable metal.</t>
  </si>
  <si>
    <t>Mandate</t>
  </si>
  <si>
    <t>a command or authorization to do something</t>
  </si>
  <si>
    <t>The new law gave authorities the mandate to act.</t>
  </si>
  <si>
    <t>Manifest</t>
  </si>
  <si>
    <t>evident</t>
  </si>
  <si>
    <t>His talent was manifest from an early age.</t>
  </si>
  <si>
    <t>Manifesto</t>
  </si>
  <si>
    <t>a public declaration of beliefs or principles,
usually political ones</t>
  </si>
  <si>
    <t>The party released its election manifesto.</t>
  </si>
  <si>
    <t>Marshal</t>
  </si>
  <si>
    <t>to arrange in order for the purpose of doing
something</t>
  </si>
  <si>
    <t>She marshalled her arguments carefully before speaking.</t>
  </si>
  <si>
    <t>Martial</t>
  </si>
  <si>
    <t>warlike</t>
  </si>
  <si>
    <t>Martial law was declared after the coup.</t>
  </si>
  <si>
    <t>Martyr</t>
  </si>
  <si>
    <t>one who makes a show of suffering in order to arouse sympathy</t>
  </si>
  <si>
    <t>She played the martyr whenever things didn't go her way.</t>
  </si>
  <si>
    <t>Matriculate</t>
  </si>
  <si>
    <t>to enroll, especially at a college</t>
  </si>
  <si>
    <t>He matriculated at Dhaka University in 2018.</t>
  </si>
  <si>
    <t>Maudlin</t>
  </si>
  <si>
    <t>silly and overly sentimental</t>
  </si>
  <si>
    <t>She became maudlin after a few drinks.</t>
  </si>
  <si>
    <t>Maverick</t>
  </si>
  <si>
    <t>a rebel</t>
  </si>
  <si>
    <t>He was a maverick who refused to follow the party line.</t>
  </si>
  <si>
    <t>Maxim</t>
  </si>
  <si>
    <t>an old saying</t>
  </si>
  <si>
    <t>Follow the maxim: 'Honesty is the best policy.'</t>
  </si>
  <si>
    <t>Mediate</t>
  </si>
  <si>
    <t>to help settle differences</t>
  </si>
  <si>
    <t>The UN tried to mediate between the two nations.</t>
  </si>
  <si>
    <t>Mellifluous</t>
  </si>
  <si>
    <t>sweetly flowing</t>
  </si>
  <si>
    <t>Her mellifluous voice captivated the audience.</t>
  </si>
  <si>
    <t>Mendacious</t>
  </si>
  <si>
    <t>dishonest</t>
  </si>
  <si>
    <t>The mendacious politician misled the public.</t>
  </si>
  <si>
    <t>Mendicant</t>
  </si>
  <si>
    <t>a beggar</t>
  </si>
  <si>
    <t>The mendicant sat quietly at the temple gate.</t>
  </si>
  <si>
    <t>Mentor</t>
  </si>
  <si>
    <t>a teacher, tutor, counselor or coach</t>
  </si>
  <si>
    <t>He credits his mentor with shaping his career.</t>
  </si>
  <si>
    <t>Mercenary</t>
  </si>
  <si>
    <t>someone who will do anything for money</t>
  </si>
  <si>
    <t>He hired mercenaries to guard the shipment.</t>
  </si>
  <si>
    <t>Mercurial</t>
  </si>
  <si>
    <t>rapidly changing in mood</t>
  </si>
  <si>
    <t>His mercurial temperament made him hard to work with.</t>
  </si>
  <si>
    <t>Metamorphosis</t>
  </si>
  <si>
    <t>a magical change in form</t>
  </si>
  <si>
    <t>The caterpillar's metamorphosis into a butterfly is remarkable.</t>
  </si>
  <si>
    <t>Microcosm</t>
  </si>
  <si>
    <t>the world in miniature</t>
  </si>
  <si>
    <t>The school is a microcosm of society.</t>
  </si>
  <si>
    <t>Milieu</t>
  </si>
  <si>
    <t>environment</t>
  </si>
  <si>
    <t>He thrived in the creative milieu of the arts school.</t>
  </si>
  <si>
    <t>Minuscule</t>
  </si>
  <si>
    <t>tiny</t>
  </si>
  <si>
    <t>The difference in price was minuscule.</t>
  </si>
  <si>
    <t>Misanthropic</t>
  </si>
  <si>
    <t>hating mankind</t>
  </si>
  <si>
    <t>He became increasingly misanthropic after his ordeal.</t>
  </si>
  <si>
    <t>Mitigate</t>
  </si>
  <si>
    <t>to moderate the effect of something</t>
  </si>
  <si>
    <t>Trees help mitigate the effects of urban heat.</t>
  </si>
  <si>
    <t>Mollify</t>
  </si>
  <si>
    <t>He brought flowers to mollify his angry wife.</t>
  </si>
  <si>
    <t>Monolithic</t>
  </si>
  <si>
    <t>massive, solid, uniform and unyielding</t>
  </si>
  <si>
    <t>The monolithic corporation resisted all regulation.</t>
  </si>
  <si>
    <t>Moribund</t>
  </si>
  <si>
    <t>dying</t>
  </si>
  <si>
    <t>The moribund industry needed urgent reform.</t>
  </si>
  <si>
    <t>Morose</t>
  </si>
  <si>
    <t>gloomy</t>
  </si>
  <si>
    <t>He became morose after the rejection.</t>
  </si>
  <si>
    <t>Mortify</t>
  </si>
  <si>
    <t>She was mortified when she tripped on stage.</t>
  </si>
  <si>
    <t>Mundane</t>
  </si>
  <si>
    <t>ordinary</t>
  </si>
  <si>
    <t>He found mundane office tasks tedious.</t>
  </si>
  <si>
    <t>Munificent</t>
  </si>
  <si>
    <t>lavish</t>
  </si>
  <si>
    <t>The munificent donor gave ten million taka.</t>
  </si>
  <si>
    <t>Myopia</t>
  </si>
  <si>
    <t>nearsightedness</t>
  </si>
  <si>
    <t>His political myopia cost him the election.</t>
  </si>
  <si>
    <t>Myriad</t>
  </si>
  <si>
    <t>a huge number</t>
  </si>
  <si>
    <t>The internet offers a myriad of resources.</t>
  </si>
  <si>
    <t>Narcissism</t>
  </si>
  <si>
    <t>excessive love of one's body or oneself</t>
  </si>
  <si>
    <t>His narcissism made it impossible for him to admit fault.</t>
  </si>
  <si>
    <t>Nebulous</t>
  </si>
  <si>
    <t>vague</t>
  </si>
  <si>
    <t>His plans for the future were nebulous.</t>
  </si>
  <si>
    <t>Nefarious</t>
  </si>
  <si>
    <t>evil</t>
  </si>
  <si>
    <t>The nefarious scheme was uncovered by police.</t>
  </si>
  <si>
    <t>Neologism</t>
  </si>
  <si>
    <t>a new usage of a word</t>
  </si>
  <si>
    <t>Selfie' is a relatively recent neologism.</t>
  </si>
  <si>
    <t>Nepotism</t>
  </si>
  <si>
    <t>showing favoritism to friends or family in business or politics</t>
  </si>
  <si>
    <t>He was accused of nepotism for hiring his cousin.</t>
  </si>
  <si>
    <t>Nihilism</t>
  </si>
  <si>
    <t>the belief that there are no values or morals in the universe</t>
  </si>
  <si>
    <t>His nihilism made him indifferent to everything.</t>
  </si>
  <si>
    <t>Nominal</t>
  </si>
  <si>
    <t>insignificant</t>
  </si>
  <si>
    <t>He charged only a nominal fee.</t>
  </si>
  <si>
    <t>Nostalgia</t>
  </si>
  <si>
    <t>sentimental longing for the past</t>
  </si>
  <si>
    <t>Listening to old songs fills me with nostalgia.</t>
  </si>
  <si>
    <t>Notorious</t>
  </si>
  <si>
    <t>famous for something bad</t>
  </si>
  <si>
    <t>He was notorious for his violent temper.</t>
  </si>
  <si>
    <t>Novel</t>
  </si>
  <si>
    <t>new</t>
  </si>
  <si>
    <t>She presented a novel approach to the old problem.</t>
  </si>
  <si>
    <t>Noxious</t>
  </si>
  <si>
    <t>The factory released noxious gases.</t>
  </si>
  <si>
    <t>Nuance</t>
  </si>
  <si>
    <t>a subtle difference or distinction</t>
  </si>
  <si>
    <t>He appreciated the nuance of her argument.</t>
  </si>
  <si>
    <t>Obdurate</t>
  </si>
  <si>
    <t>stubborn and insensitive</t>
  </si>
  <si>
    <t>The obdurate official refused to listen.</t>
  </si>
  <si>
    <t>Obfuscate</t>
  </si>
  <si>
    <t>to confuse</t>
  </si>
  <si>
    <t>His lengthy explanation only obfuscated the issue.</t>
  </si>
  <si>
    <t>Oblique</t>
  </si>
  <si>
    <t>indirect</t>
  </si>
  <si>
    <t>He made an oblique reference to the incident.</t>
  </si>
  <si>
    <t>Oblivion</t>
  </si>
  <si>
    <t>total forgetfulness</t>
  </si>
  <si>
    <t>The once-famous actor faded into oblivion.</t>
  </si>
  <si>
    <t>Obscure</t>
  </si>
  <si>
    <t>The poem's meaning was obscure even to experts.</t>
  </si>
  <si>
    <t>Obsequious</t>
  </si>
  <si>
    <t>sucking up to</t>
  </si>
  <si>
    <t>His obsequious behavior disgusted his colleagues.</t>
  </si>
  <si>
    <t>Obtuse</t>
  </si>
  <si>
    <t>insensitive</t>
  </si>
  <si>
    <t>He was too obtuse to sense the awkward atmosphere.</t>
  </si>
  <si>
    <t>Officious</t>
  </si>
  <si>
    <t>annoyingly eager to help or advise</t>
  </si>
  <si>
    <t>The officious clerk interrupted our conversation constantly.</t>
  </si>
  <si>
    <t>Onerous</t>
  </si>
  <si>
    <t>burdensome</t>
  </si>
  <si>
    <t>The onerous workload left him exhausted.</t>
  </si>
  <si>
    <t>Opaque</t>
  </si>
  <si>
    <t>impossible to see
through or to understand</t>
  </si>
  <si>
    <t>The manager's opaque instructions confused everyone.</t>
  </si>
  <si>
    <t>Opulent</t>
  </si>
  <si>
    <t>luxurious</t>
  </si>
  <si>
    <t>The opulent mansion had golden furniture.</t>
  </si>
  <si>
    <t>Orthodox</t>
  </si>
  <si>
    <t>conventional, adhering to established principles, especially in religion</t>
  </si>
  <si>
    <t>He had an orthodox view of religious practice.</t>
  </si>
  <si>
    <t>Ostensible</t>
  </si>
  <si>
    <t>apparent but misleading</t>
  </si>
  <si>
    <t>His ostensible reason was work, but he wanted a vacation.</t>
  </si>
  <si>
    <t>Ostentatious</t>
  </si>
  <si>
    <t>showing off</t>
  </si>
  <si>
    <t>He wore an ostentatious gold watch to impress guests.</t>
  </si>
  <si>
    <t>Pacify</t>
  </si>
  <si>
    <t>to calm someone down</t>
  </si>
  <si>
    <t>She struggled to pacify the crying baby.</t>
  </si>
  <si>
    <t>Painstaking</t>
  </si>
  <si>
    <t>extremely careful</t>
  </si>
  <si>
    <t>He did painstaking research for his dissertation.</t>
  </si>
  <si>
    <t>Palliate</t>
  </si>
  <si>
    <t>to relieve or alleviate something without getting rid of the
problem</t>
  </si>
  <si>
    <t>The medication only palliates the symptoms.</t>
  </si>
  <si>
    <t>Palpable</t>
  </si>
  <si>
    <t>obvious; tangible</t>
  </si>
  <si>
    <t>The tension in the room was palpable.</t>
  </si>
  <si>
    <t>Paltry</t>
  </si>
  <si>
    <t>He received a paltry salary for his hard work.</t>
  </si>
  <si>
    <t>Panacea</t>
  </si>
  <si>
    <t>something that cures everything</t>
  </si>
  <si>
    <t>There is no panacea for poverty.</t>
  </si>
  <si>
    <t>Paradigm</t>
  </si>
  <si>
    <t>a model or example</t>
  </si>
  <si>
    <t>The internet created a new paradigm for communication.</t>
  </si>
  <si>
    <t>Paradox</t>
  </si>
  <si>
    <t>a true statement or phenomenon that nonetheless seems to contradict itself</t>
  </si>
  <si>
    <t>It's a paradox that the more you learn, the more you realize you don't know.</t>
  </si>
  <si>
    <t>Parochial</t>
  </si>
  <si>
    <t>narrow or confined in point of view</t>
  </si>
  <si>
    <t>His parochial mindset limited his career prospects.</t>
  </si>
  <si>
    <t>Parody</t>
  </si>
  <si>
    <t>a satirical imitation</t>
  </si>
  <si>
    <t>The comedian's parody of the president was hilarious.</t>
  </si>
  <si>
    <t>Parsimonious</t>
  </si>
  <si>
    <t>stingy</t>
  </si>
  <si>
    <t>The parsimonious landlord refused to fix the heating.</t>
  </si>
  <si>
    <t>Partisan</t>
  </si>
  <si>
    <t>one who supports a particular person, cause, or idea</t>
  </si>
  <si>
    <t>The partisan coverage biased viewers.</t>
  </si>
  <si>
    <t>Patent</t>
  </si>
  <si>
    <t>obvious</t>
  </si>
  <si>
    <t>His patent lack of experience showed during the interview.</t>
  </si>
  <si>
    <t>Paternal</t>
  </si>
  <si>
    <t>fatherly</t>
  </si>
  <si>
    <t>He offered paternal advice to the young employee.</t>
  </si>
  <si>
    <t>Pathology</t>
  </si>
  <si>
    <t>the science of diseases</t>
  </si>
  <si>
    <t>She studied pathology at medical school.</t>
  </si>
  <si>
    <t>Patriarch</t>
  </si>
  <si>
    <t>the male head of a family or tribe</t>
  </si>
  <si>
    <t>The old patriarch was respected by all.</t>
  </si>
  <si>
    <t>Patrician</t>
  </si>
  <si>
    <t>an aristocrat</t>
  </si>
  <si>
    <t>He was born into a patrician family.</t>
  </si>
  <si>
    <t>Patronize</t>
  </si>
  <si>
    <t>to treat as an inferior</t>
  </si>
  <si>
    <t>Please don't patronize me — I know what I'm doing.</t>
  </si>
  <si>
    <t>Paucity</t>
  </si>
  <si>
    <t>There is a paucity of clean drinking water.</t>
  </si>
  <si>
    <t>Peccadillo</t>
  </si>
  <si>
    <t>a minor offense</t>
  </si>
  <si>
    <t>Being late once is a peccadillo, not a crime.</t>
  </si>
  <si>
    <t>Pedantic</t>
  </si>
  <si>
    <t>boringly scholarly or academic</t>
  </si>
  <si>
    <t>He was so pedantic that even simple topics became dull.</t>
  </si>
  <si>
    <t>Pedestrian</t>
  </si>
  <si>
    <t>banal</t>
  </si>
  <si>
    <t>His speech was pedestrian and uninspiring.</t>
  </si>
  <si>
    <t>Pejorative</t>
  </si>
  <si>
    <t>negative</t>
  </si>
  <si>
    <t>His pejorative remarks angered the crowd.</t>
  </si>
  <si>
    <t>Penchant</t>
  </si>
  <si>
    <t>a strong taste or liking for something</t>
  </si>
  <si>
    <t>She has a penchant for collecting old books.</t>
  </si>
  <si>
    <t>Penitent</t>
  </si>
  <si>
    <t>repentant</t>
  </si>
  <si>
    <t>The penitent man confessed his sins.</t>
  </si>
  <si>
    <t>Pensive</t>
  </si>
  <si>
    <t>thoughtful and sad</t>
  </si>
  <si>
    <t>She sat by the window, looking pensive.</t>
  </si>
  <si>
    <t>Peremptory</t>
  </si>
  <si>
    <t>dictatorial</t>
  </si>
  <si>
    <t>His peremptory tone offended everyone.</t>
  </si>
  <si>
    <t>Perennial</t>
  </si>
  <si>
    <t>happening again and again</t>
  </si>
  <si>
    <t>Flooding is a perennial problem in Bangladesh.</t>
  </si>
  <si>
    <t>Perfidy</t>
  </si>
  <si>
    <t>treachery</t>
  </si>
  <si>
    <t>His perfidy was revealed when the letters were published.</t>
  </si>
  <si>
    <t>Perfunctory</t>
  </si>
  <si>
    <t>unenthusiastic; careless</t>
  </si>
  <si>
    <t>He gave a perfunctory nod and moved on.</t>
  </si>
  <si>
    <t>Peripatetic</t>
  </si>
  <si>
    <t>traveling continually</t>
  </si>
  <si>
    <t>His peripatetic lifestyle meant he never settled.</t>
  </si>
  <si>
    <t>Periphery</t>
  </si>
  <si>
    <t>the outside edge of something</t>
  </si>
  <si>
    <t>He worked on the periphery of the organization.</t>
  </si>
  <si>
    <t>Perjury</t>
  </si>
  <si>
    <t>lying under oath</t>
  </si>
  <si>
    <t>He was charged with perjury after lying in court.</t>
  </si>
  <si>
    <t>Permeate</t>
  </si>
  <si>
    <t>to penetrate</t>
  </si>
  <si>
    <t>The smell of food permeated the entire house.</t>
  </si>
  <si>
    <t>Pernicious</t>
  </si>
  <si>
    <t>deadly</t>
  </si>
  <si>
    <t>Fake news has a pernicious effect on society.</t>
  </si>
  <si>
    <t>Perquisite</t>
  </si>
  <si>
    <t>a privilege that goes along with a job</t>
  </si>
  <si>
    <t>A company car is a perquisite of the senior position.</t>
  </si>
  <si>
    <t>Pertinent</t>
  </si>
  <si>
    <t>relevant</t>
  </si>
  <si>
    <t>Please keep your comments pertinent to the topic.</t>
  </si>
  <si>
    <t>Perturb</t>
  </si>
  <si>
    <t>to disturb greatly</t>
  </si>
  <si>
    <t>The unexpected news perturbed her greatly.</t>
  </si>
  <si>
    <t>Peruse</t>
  </si>
  <si>
    <t>to read carefully</t>
  </si>
  <si>
    <t>She perused the contract before signing.</t>
  </si>
  <si>
    <t>Pervade</t>
  </si>
  <si>
    <t>to spread throughout</t>
  </si>
  <si>
    <t>A sense of optimism pervaded the conference.</t>
  </si>
  <si>
    <t>Petulant</t>
  </si>
  <si>
    <t>cranky</t>
  </si>
  <si>
    <t>The petulant child threw a tantrum in the store.</t>
  </si>
  <si>
    <t>Philanthropy</t>
  </si>
  <si>
    <t>love of mankind, expressed by doing good deeds</t>
  </si>
  <si>
    <t>Bill Gates is known for his philanthropy.</t>
  </si>
  <si>
    <t>Philistine</t>
  </si>
  <si>
    <t>a smugly ignorant person with no appreciation of
intellectual or artistic matters</t>
  </si>
  <si>
    <t>Only a philistine would dismiss classical music as boring.</t>
  </si>
  <si>
    <t>Pious</t>
  </si>
  <si>
    <t>hypocritical</t>
  </si>
  <si>
    <t>He was pious in public but dishonest in business.</t>
  </si>
  <si>
    <t>Pivotal</t>
  </si>
  <si>
    <t>crucial</t>
  </si>
  <si>
    <t>That meeting was pivotal in her career.</t>
  </si>
  <si>
    <t>Placate</t>
  </si>
  <si>
    <t>to pacify</t>
  </si>
  <si>
    <t>He tried to placate the angry mob.</t>
  </si>
  <si>
    <t>Plaintive</t>
  </si>
  <si>
    <t>expressing sadness or sorrow</t>
  </si>
  <si>
    <t>The dog let out a plaintive howl.</t>
  </si>
  <si>
    <t>Platitude</t>
  </si>
  <si>
    <t>a dull or trite remark</t>
  </si>
  <si>
    <t>His speech was full of empty platitudes.</t>
  </si>
  <si>
    <t>Plebeian</t>
  </si>
  <si>
    <t>low class</t>
  </si>
  <si>
    <t>He rejected her for her plebeian background.</t>
  </si>
  <si>
    <t>Plethora</t>
  </si>
  <si>
    <t>an excess</t>
  </si>
  <si>
    <t>There is a plethora of advice on the internet.</t>
  </si>
  <si>
    <t>Poignant</t>
  </si>
  <si>
    <t>painfully emotional</t>
  </si>
  <si>
    <t>The film ended with a poignant farewell scene.</t>
  </si>
  <si>
    <t>Polarize</t>
  </si>
  <si>
    <t>to break up into opposing factions or groupings</t>
  </si>
  <si>
    <t>The debate polarized public opinion.</t>
  </si>
  <si>
    <t>Polemic</t>
  </si>
  <si>
    <t>a powerful argument often made to attack or refute</t>
  </si>
  <si>
    <t>Her polemic against corruption was widely shared.</t>
  </si>
  <si>
    <t>Ponderous</t>
  </si>
  <si>
    <t>so large as to be clumsy</t>
  </si>
  <si>
    <t>The ponderous speech bored the audience.</t>
  </si>
  <si>
    <t>Portent</t>
  </si>
  <si>
    <t>an omen</t>
  </si>
  <si>
    <t>Dark clouds were a portent of the coming storm.</t>
  </si>
  <si>
    <t>Postulate</t>
  </si>
  <si>
    <t>something accepted as true without proof</t>
  </si>
  <si>
    <t>He postulated that light travels at a constant speed.</t>
  </si>
  <si>
    <t>Pragmatic</t>
  </si>
  <si>
    <t>Her pragmatic approach solved the problem quickly.</t>
  </si>
  <si>
    <t>Precedent</t>
  </si>
  <si>
    <t>an earlier example or model of something</t>
  </si>
  <si>
    <t>The court's decision set a legal precedent.</t>
  </si>
  <si>
    <t>Precept</t>
  </si>
  <si>
    <t>a rule to live by</t>
  </si>
  <si>
    <t>He lived by the precept of 'do no harm.'</t>
  </si>
  <si>
    <t>Precipitate</t>
  </si>
  <si>
    <t>to cause to happen abruptly</t>
  </si>
  <si>
    <t>The scandal precipitated his resignation.</t>
  </si>
  <si>
    <t>Precipitous</t>
  </si>
  <si>
    <t>steep</t>
  </si>
  <si>
    <t>The precipitous drop in stock prices shocked investors.</t>
  </si>
  <si>
    <t>Preclude</t>
  </si>
  <si>
    <t>to prevent something from ever happening</t>
  </si>
  <si>
    <t>A back injury precluded him from playing.</t>
  </si>
  <si>
    <t>Precursor</t>
  </si>
  <si>
    <t>something that goes before and anticipates or paves the way for whatever follows</t>
  </si>
  <si>
    <t>A cold is often a precursor to the flu.</t>
  </si>
  <si>
    <t>Predilection</t>
  </si>
  <si>
    <t>a natural preference for something</t>
  </si>
  <si>
    <t>She had a predilection for spicy food.</t>
  </si>
  <si>
    <t>Preeminent</t>
  </si>
  <si>
    <t>better than everyone; outstanding</t>
  </si>
  <si>
    <t>She is the preeminent authority on the subject.</t>
  </si>
  <si>
    <t>Preempt</t>
  </si>
  <si>
    <t>to seize something by prior right</t>
  </si>
  <si>
    <t>He preempted the criticism with an apology.</t>
  </si>
  <si>
    <t>Premise</t>
  </si>
  <si>
    <t>an assumption</t>
  </si>
  <si>
    <t>The argument rests on a faulty premise.</t>
  </si>
  <si>
    <t>Prepossess</t>
  </si>
  <si>
    <t>to make a good
impression on beforehand</t>
  </si>
  <si>
    <t>Her cheerful personality prepossessed everyone.</t>
  </si>
  <si>
    <t>Prerogative</t>
  </si>
  <si>
    <t>a right or privilege
connected exclusively with a position</t>
  </si>
  <si>
    <t>It is the president's prerogative to grant pardons.</t>
  </si>
  <si>
    <t>Prevail</t>
  </si>
  <si>
    <t>to triumph</t>
  </si>
  <si>
    <t>Justice will eventually prevail.</t>
  </si>
  <si>
    <t>Pristine</t>
  </si>
  <si>
    <t>unspoiled</t>
  </si>
  <si>
    <t>The pristine forest had never been logged.</t>
  </si>
  <si>
    <t>Prodigal</t>
  </si>
  <si>
    <t>wastefully extravagant</t>
  </si>
  <si>
    <t>The prodigal son spent all his inheritance.</t>
  </si>
  <si>
    <t>Prodigious</t>
  </si>
  <si>
    <t>extraordinary; enormous</t>
  </si>
  <si>
    <t>He showed prodigious talent from childhood.</t>
  </si>
  <si>
    <t>Prodigy</t>
  </si>
  <si>
    <t>an extraordinary
accomplishment or occurrence</t>
  </si>
  <si>
    <t>Mozart was a musical prodigy.</t>
  </si>
  <si>
    <t>Profane</t>
  </si>
  <si>
    <t>not having to do with religion</t>
  </si>
  <si>
    <t>His profane language offended many in the church.</t>
  </si>
  <si>
    <t>Profess</t>
  </si>
  <si>
    <t>to declare falsely or pretend</t>
  </si>
  <si>
    <t>He professed to know nothing about the theft.</t>
  </si>
  <si>
    <t>Proficient</t>
  </si>
  <si>
    <t>She is proficient in three languages.</t>
  </si>
  <si>
    <t>Profligate</t>
  </si>
  <si>
    <t>extravagantly wasteful and usually wildly
immoral</t>
  </si>
  <si>
    <t>His profligate lifestyle led to bankruptcy.</t>
  </si>
  <si>
    <t>Profound</t>
  </si>
  <si>
    <t>deep</t>
  </si>
  <si>
    <t>The book had a profound impact on her life.</t>
  </si>
  <si>
    <t>Profuse</t>
  </si>
  <si>
    <t>flowing; extravagant</t>
  </si>
  <si>
    <t>She offered profuse apologies for the mistake.</t>
  </si>
  <si>
    <t>Proletariat</t>
  </si>
  <si>
    <t>the industrial working class</t>
  </si>
  <si>
    <t>Marx wrote about the struggle of the proletariat.</t>
  </si>
  <si>
    <t>Proliferate</t>
  </si>
  <si>
    <t>to spread or grow rapidly</t>
  </si>
  <si>
    <t>Social media platforms have proliferated in recent years.</t>
  </si>
  <si>
    <t>Prolific</t>
  </si>
  <si>
    <t>abundantly productive</t>
  </si>
  <si>
    <t>Tagore was a prolific writer.</t>
  </si>
  <si>
    <t>Promulgate</t>
  </si>
  <si>
    <t>to publicly or formally declare something</t>
  </si>
  <si>
    <t>The king promulgated a new law.</t>
  </si>
  <si>
    <t>Propensity</t>
  </si>
  <si>
    <t>a natural inclination or tendency</t>
  </si>
  <si>
    <t>She has a propensity for exaggeration.</t>
  </si>
  <si>
    <t>Propitious</t>
  </si>
  <si>
    <t>marked by favorable signs or conditions</t>
  </si>
  <si>
    <t>It was a propitious time to launch the business.</t>
  </si>
  <si>
    <t>Proponent</t>
  </si>
  <si>
    <t>an advocate</t>
  </si>
  <si>
    <t>She is a proponent of renewable energy.</t>
  </si>
  <si>
    <t>Proprietary</t>
  </si>
  <si>
    <t>characteristic of an owner of property</t>
  </si>
  <si>
    <t>This is proprietary software — it cannot be copied.</t>
  </si>
  <si>
    <t>Propriety</t>
  </si>
  <si>
    <t>good manners</t>
  </si>
  <si>
    <t>He always behaved with propriety.</t>
  </si>
  <si>
    <t>Prosaic</t>
  </si>
  <si>
    <t>unimaginative</t>
  </si>
  <si>
    <t>His prosaic writing style lacked flair.</t>
  </si>
  <si>
    <t>Proscribe</t>
  </si>
  <si>
    <t>to prohibit</t>
  </si>
  <si>
    <t>The government proscribed the extremist group.</t>
  </si>
  <si>
    <t>Proselytize</t>
  </si>
  <si>
    <t>to convert from one religion or doctrine to
another</t>
  </si>
  <si>
    <t>He traveled the world to proselytize.</t>
  </si>
  <si>
    <t>Protagonist</t>
  </si>
  <si>
    <t>the leading character in a novel, play or other work</t>
  </si>
  <si>
    <t>The protagonist of the novel faces many trials.</t>
  </si>
  <si>
    <t>Protract</t>
  </si>
  <si>
    <t>to prolong</t>
  </si>
  <si>
    <t>The meeting was protracted by endless debate.</t>
  </si>
  <si>
    <t>Provident</t>
  </si>
  <si>
    <t>preparing for the future</t>
  </si>
  <si>
    <t>The provident family saved money every month.</t>
  </si>
  <si>
    <t>Provincial</t>
  </si>
  <si>
    <t>narrow</t>
  </si>
  <si>
    <t>His provincial outlook limited his understanding.</t>
  </si>
  <si>
    <t>Provisional</t>
  </si>
  <si>
    <t>conditional</t>
  </si>
  <si>
    <t>A provisional agreement was signed pending review.</t>
  </si>
  <si>
    <t>Proximity</t>
  </si>
  <si>
    <t>nearness</t>
  </si>
  <si>
    <t>The hotel's proximity to the airport was convenient.</t>
  </si>
  <si>
    <t>Prudent</t>
  </si>
  <si>
    <t>careful; having foresight</t>
  </si>
  <si>
    <t>It is prudent to save money for emergencies.</t>
  </si>
  <si>
    <t>Purported</t>
  </si>
  <si>
    <t>rumored; claimed</t>
  </si>
  <si>
    <t>The purported benefits of the drug were exaggerated.</t>
  </si>
  <si>
    <t>Putative</t>
  </si>
  <si>
    <t>commonly accepted</t>
  </si>
  <si>
    <t>The putative father was identified through DNA.</t>
  </si>
  <si>
    <t>Qualify</t>
  </si>
  <si>
    <t>to modify or restrict</t>
  </si>
  <si>
    <t>He qualified his statement to avoid misunderstanding.</t>
  </si>
  <si>
    <t>Qualitative</t>
  </si>
  <si>
    <t>having to do with the quality or something</t>
  </si>
  <si>
    <t>This is a qualitative study of student satisfaction.</t>
  </si>
  <si>
    <t>Querulous</t>
  </si>
  <si>
    <t>complaining</t>
  </si>
  <si>
    <t>The querulous patient complained about everything.</t>
  </si>
  <si>
    <t>Quixotic</t>
  </si>
  <si>
    <t>romantic or idealistic to a foolish degree</t>
  </si>
  <si>
    <t>His quixotic plan to eliminate world hunger impressed no one.</t>
  </si>
  <si>
    <t>Ramification</t>
  </si>
  <si>
    <t>a consequence</t>
  </si>
  <si>
    <t>The ramifications of the decision were far- reaching.</t>
  </si>
  <si>
    <t>Rancor</t>
  </si>
  <si>
    <t>bitter, long-lasting resentment</t>
  </si>
  <si>
    <t>He spoke without rancor despite being wronged.</t>
  </si>
  <si>
    <t>Rapacious</t>
  </si>
  <si>
    <t>The rapacious developers destroyed the forest.</t>
  </si>
  <si>
    <t>Rebuke</t>
  </si>
  <si>
    <t>to criticize sharply</t>
  </si>
  <si>
    <t>The coach rebuked the player for missing practice.</t>
  </si>
  <si>
    <t>Rebut</t>
  </si>
  <si>
    <t>to argue in opposition to</t>
  </si>
  <si>
    <t>She rebutted every claim in his argument.</t>
  </si>
  <si>
    <t>Recalcitrant</t>
  </si>
  <si>
    <t>The recalcitrant employee refused every instruction.</t>
  </si>
  <si>
    <t>Recant</t>
  </si>
  <si>
    <t>to openly confess error</t>
  </si>
  <si>
    <t>Under pressure, he recanted his earlier statement.</t>
  </si>
  <si>
    <t>Reciprocal</t>
  </si>
  <si>
    <t>interchangeable</t>
  </si>
  <si>
    <t>Their affection was reciprocal.</t>
  </si>
  <si>
    <t>Reclusive</t>
  </si>
  <si>
    <t>withdrawn from society</t>
  </si>
  <si>
    <t>The reclusive author rarely gave interviews.</t>
  </si>
  <si>
    <t>Recondite</t>
  </si>
  <si>
    <t>His recondite knowledge impressed scholars.</t>
  </si>
  <si>
    <t>Recrimination</t>
  </si>
  <si>
    <t>a bitter counter- accusation</t>
  </si>
  <si>
    <t>Their argument turned into mutual recrimination.</t>
  </si>
  <si>
    <t>Redolent</t>
  </si>
  <si>
    <t>fragrant</t>
  </si>
  <si>
    <t>The garden was redolent with the scent of roses.</t>
  </si>
  <si>
    <t>Redundant</t>
  </si>
  <si>
    <t>unnecessarily repetitive</t>
  </si>
  <si>
    <t>His report was redundant — it repeated what we already knew.</t>
  </si>
  <si>
    <t>Refute</t>
  </si>
  <si>
    <t>to disprove</t>
  </si>
  <si>
    <t>She refuted his theory with solid evidence.</t>
  </si>
  <si>
    <t>Reiterate</t>
  </si>
  <si>
    <t>to repeat</t>
  </si>
  <si>
    <t>He reiterated his point to ensure everyone understood.</t>
  </si>
  <si>
    <t>Relegate</t>
  </si>
  <si>
    <t>to banish</t>
  </si>
  <si>
    <t>The team was relegated to the second division.</t>
  </si>
  <si>
    <t>Relentless</t>
  </si>
  <si>
    <t>unstoppable</t>
  </si>
  <si>
    <t>Her relentless effort paid off in the end.</t>
  </si>
  <si>
    <t>Relinquish</t>
  </si>
  <si>
    <t>He relinquished control of the company.</t>
  </si>
  <si>
    <t>Remonstrate</t>
  </si>
  <si>
    <t>to argue against</t>
  </si>
  <si>
    <t>She remonstrated with the officials over the delay.</t>
  </si>
  <si>
    <t>Renaissance</t>
  </si>
  <si>
    <t>a rebirth or revival</t>
  </si>
  <si>
    <t>The Renaissance transformed art and science in Europe.</t>
  </si>
  <si>
    <t>Renounce</t>
  </si>
  <si>
    <t>to give up formally or resign</t>
  </si>
  <si>
    <t>He renounced his citizenship.</t>
  </si>
  <si>
    <t>Reparation</t>
  </si>
  <si>
    <t>compensation</t>
  </si>
  <si>
    <t>Germany paid reparations after World War I.</t>
  </si>
  <si>
    <t>Repercussion</t>
  </si>
  <si>
    <t>an indirect effect</t>
  </si>
  <si>
    <t>The scandal had repercussions across the industry.</t>
  </si>
  <si>
    <t>Replenish</t>
  </si>
  <si>
    <t>to fill again</t>
  </si>
  <si>
    <t>She replenished her stock of supplies.</t>
  </si>
  <si>
    <t>Replete</t>
  </si>
  <si>
    <t>completely filled</t>
  </si>
  <si>
    <t>The feast left the guests replete and satisfied.</t>
  </si>
  <si>
    <t>Reprehensible</t>
  </si>
  <si>
    <t>worthy of blame or censure</t>
  </si>
  <si>
    <t>His behavior was reprehensible.</t>
  </si>
  <si>
    <t>Reprisal</t>
  </si>
  <si>
    <t>a military action
undertaken in revenge for another</t>
  </si>
  <si>
    <t>The attack was a reprisal for the previous bombing.</t>
  </si>
  <si>
    <t>Reproach</t>
  </si>
  <si>
    <t>to scold, usually in disappointment</t>
  </si>
  <si>
    <t>She reproached him for forgetting their anniversary.</t>
  </si>
  <si>
    <t>Reprove</t>
  </si>
  <si>
    <t>to criticize mildly</t>
  </si>
  <si>
    <t>The teacher reproved him gently for daydreaming.</t>
  </si>
  <si>
    <t>Repudiate</t>
  </si>
  <si>
    <t>She repudiated the accusation entirely.</t>
  </si>
  <si>
    <t>Requisite</t>
  </si>
  <si>
    <t>required</t>
  </si>
  <si>
    <t>A degree is not always a requisite for success.</t>
  </si>
  <si>
    <t>Resolute</t>
  </si>
  <si>
    <t>determined</t>
  </si>
  <si>
    <t>She was resolute in her decision.</t>
  </si>
  <si>
    <t>Respite</t>
  </si>
  <si>
    <t>a period of rest or relief</t>
  </si>
  <si>
    <t>The rain gave the workers a brief respite.</t>
  </si>
  <si>
    <t>Reticent</t>
  </si>
  <si>
    <t>reluctant to speak, especially about oneself</t>
  </si>
  <si>
    <t>He was reticent about his personal life.</t>
  </si>
  <si>
    <t>Revere</t>
  </si>
  <si>
    <t>to respect highly</t>
  </si>
  <si>
    <t>She is revered as a pioneer in medicine.</t>
  </si>
  <si>
    <t>Rhetoric</t>
  </si>
  <si>
    <t>the art of formal speaking or writing</t>
  </si>
  <si>
    <t>His speech was full of powerful rhetoric.</t>
  </si>
  <si>
    <t>Rigorous</t>
  </si>
  <si>
    <t>severe</t>
  </si>
  <si>
    <t>The training program was rigorous but effective.</t>
  </si>
  <si>
    <t>Robust</t>
  </si>
  <si>
    <t>strong and healthy</t>
  </si>
  <si>
    <t>He had a robust constitution.</t>
  </si>
  <si>
    <t>Rogue</t>
  </si>
  <si>
    <t>someone who can't be trusted</t>
  </si>
  <si>
    <t>He turned out to be a rogue who cheated everyone.</t>
  </si>
  <si>
    <t>Rudimentary</t>
  </si>
  <si>
    <t>basic; undeveloped</t>
  </si>
  <si>
    <t>She had a rudimentary knowledge of French.</t>
  </si>
  <si>
    <t>Ruminate</t>
  </si>
  <si>
    <t>to ponder</t>
  </si>
  <si>
    <t>He ruminated over the decision for days.</t>
  </si>
  <si>
    <t>Rustic</t>
  </si>
  <si>
    <t>primitive</t>
  </si>
  <si>
    <t>The rustic cottage had no electricity.</t>
  </si>
  <si>
    <t>Saccharine</t>
  </si>
  <si>
    <t>excessively or disgustingly sweet</t>
  </si>
  <si>
    <t>The film's saccharine ending felt forced.</t>
  </si>
  <si>
    <t>Sacrilege</t>
  </si>
  <si>
    <t>blasphemy</t>
  </si>
  <si>
    <t>Desecrating a temple is an act of sacrilege.</t>
  </si>
  <si>
    <t>Sacrosanct</t>
  </si>
  <si>
    <t>sacred</t>
  </si>
  <si>
    <t>The privacy of the vote is sacrosanct.</t>
  </si>
  <si>
    <t>Sagacious</t>
  </si>
  <si>
    <t>wise</t>
  </si>
  <si>
    <t>Her sagacious advice helped me navigate the crisis.</t>
  </si>
  <si>
    <t>Salient</t>
  </si>
  <si>
    <t>standing out</t>
  </si>
  <si>
    <t>The salient feature of the plan is its simplicity.</t>
  </si>
  <si>
    <t>Salutary</t>
  </si>
  <si>
    <t>curative; healthful</t>
  </si>
  <si>
    <t>The experience had a salutary effect on his behavior.</t>
  </si>
  <si>
    <t>Sanctimonious</t>
  </si>
  <si>
    <t>affecting religious feeling</t>
  </si>
  <si>
    <t>His sanctimonious speeches annoyed his coworkers.</t>
  </si>
  <si>
    <t>Sanguine</t>
  </si>
  <si>
    <t>optimistic</t>
  </si>
  <si>
    <t>She remained sanguine about their chances.</t>
  </si>
  <si>
    <t>Sardonic</t>
  </si>
  <si>
    <t>mocking</t>
  </si>
  <si>
    <t>He gave a sardonic smile when she mentioned success.</t>
  </si>
  <si>
    <t>Scintillate</t>
  </si>
  <si>
    <t>to sparkle, either literally or figuratively</t>
  </si>
  <si>
    <t>Her performance scintillated the audience.</t>
  </si>
  <si>
    <t>Scrupulous</t>
  </si>
  <si>
    <t>hesitant for ethical reasons</t>
  </si>
  <si>
    <t>He was scrupulous in following the rules.</t>
  </si>
  <si>
    <t>Scrutinize</t>
  </si>
  <si>
    <t>to examine very carefully</t>
  </si>
  <si>
    <t>The auditor scrutinized every financial record.</t>
  </si>
  <si>
    <t>Secular</t>
  </si>
  <si>
    <t>having nothing to do with religion or spiritual concerns</t>
  </si>
  <si>
    <t>Bangladesh has a secular constitution.</t>
  </si>
  <si>
    <t>Sedition</t>
  </si>
  <si>
    <t>promoting public disorder or rebellion</t>
  </si>
  <si>
    <t>He was arrested for sedition.</t>
  </si>
  <si>
    <t>Sensory</t>
  </si>
  <si>
    <t>having to do with the senses or sensation</t>
  </si>
  <si>
    <t>The film offered a rich sensory experience.</t>
  </si>
  <si>
    <t>Sentient</t>
  </si>
  <si>
    <t>conscious</t>
  </si>
  <si>
    <t>Humans are sentient beings capable of emotion.</t>
  </si>
  <si>
    <t>Sequester</t>
  </si>
  <si>
    <t>to set or keep apart</t>
  </si>
  <si>
    <t>The jury was sequestered during the trial.</t>
  </si>
  <si>
    <t>Serendipity</t>
  </si>
  <si>
    <t>accidental good fortune</t>
  </si>
  <si>
    <t>Finding that rare book was pure serendipity.</t>
  </si>
  <si>
    <t>Servile</t>
  </si>
  <si>
    <t>like a servant</t>
  </si>
  <si>
    <t>His servile behavior disgusted his friends.</t>
  </si>
  <si>
    <t>Singular</t>
  </si>
  <si>
    <t>unique</t>
  </si>
  <si>
    <t>She has a singular talent for languages.</t>
  </si>
  <si>
    <t>Slander</t>
  </si>
  <si>
    <t>to speak badly about someone publicly</t>
  </si>
  <si>
    <t>He sued her for slander.</t>
  </si>
  <si>
    <t>Sloth</t>
  </si>
  <si>
    <t>laziness</t>
  </si>
  <si>
    <t>His sloth prevented him from achieving his goals.</t>
  </si>
  <si>
    <t>Sobriety</t>
  </si>
  <si>
    <t>the state of being sober; seriousness</t>
  </si>
  <si>
    <t>He admired her sobriety and calm manner.</t>
  </si>
  <si>
    <t>Solicitous</t>
  </si>
  <si>
    <t>anxiously caring or attentive</t>
  </si>
  <si>
    <t>She was solicitous about her elderly parents.</t>
  </si>
  <si>
    <t>Solvent</t>
  </si>
  <si>
    <t>not broke or bankrupt</t>
  </si>
  <si>
    <t>The company managed to remain solvent during the recession.</t>
  </si>
  <si>
    <t>Soporific</t>
  </si>
  <si>
    <t>extremely boring</t>
  </si>
  <si>
    <t>The soporific lecture put half the class to sleep.</t>
  </si>
  <si>
    <t>Sordid</t>
  </si>
  <si>
    <t>filthy</t>
  </si>
  <si>
    <t>The sordid details of the case shocked the public.</t>
  </si>
  <si>
    <t>Spawn</t>
  </si>
  <si>
    <t>to bring forth; to produce a big number</t>
  </si>
  <si>
    <t>The internet spawned thousands of new businesses.</t>
  </si>
  <si>
    <t>Specious</t>
  </si>
  <si>
    <t>deceptively plausible or attractive</t>
  </si>
  <si>
    <t>His specious argument fooled many listeners.</t>
  </si>
  <si>
    <t>Sporadic</t>
  </si>
  <si>
    <t>occurring in bursts every once in a while</t>
  </si>
  <si>
    <t>There were sporadic clashes throughout the night.</t>
  </si>
  <si>
    <t>Spurious</t>
  </si>
  <si>
    <t>fake</t>
  </si>
  <si>
    <t>He was exposed for spreading spurious claims.</t>
  </si>
  <si>
    <t>Squalor</t>
  </si>
  <si>
    <t>filth</t>
  </si>
  <si>
    <t>They lived in squalor after losing their home.</t>
  </si>
  <si>
    <t>Squander</t>
  </si>
  <si>
    <t>to waste</t>
  </si>
  <si>
    <t>He squandered his inheritance on gambling.</t>
  </si>
  <si>
    <t>Stagnation</t>
  </si>
  <si>
    <t>motionlessness</t>
  </si>
  <si>
    <t>Economic stagnation affected millions.</t>
  </si>
  <si>
    <t>Static</t>
  </si>
  <si>
    <t>not changing or moving</t>
  </si>
  <si>
    <t>The situation remained static for months.</t>
  </si>
  <si>
    <t>Staunch</t>
  </si>
  <si>
    <t>firmly committed</t>
  </si>
  <si>
    <t>She is a staunch defender of human rights.</t>
  </si>
  <si>
    <t>Steadfast</t>
  </si>
  <si>
    <t>loyal</t>
  </si>
  <si>
    <t>He remained steadfast in his beliefs.</t>
  </si>
  <si>
    <t>Stigmatize</t>
  </si>
  <si>
    <t>to set a mark of disgrace upon</t>
  </si>
  <si>
    <t>Mental illness is often unfairly stigmatized.</t>
  </si>
  <si>
    <t>Stipulate</t>
  </si>
  <si>
    <t>to require something as part of an agreement</t>
  </si>
  <si>
    <t>The contract stipulates a three-month notice period.</t>
  </si>
  <si>
    <t>Stoic</t>
  </si>
  <si>
    <t>emotionless</t>
  </si>
  <si>
    <t>She bore the pain with stoic composure.</t>
  </si>
  <si>
    <t>Stratum</t>
  </si>
  <si>
    <t>a level</t>
  </si>
  <si>
    <t>People from every stratum of society attended.</t>
  </si>
  <si>
    <t>Stricture</t>
  </si>
  <si>
    <t>a limitation</t>
  </si>
  <si>
    <t>The judge placed strictures on media coverage.</t>
  </si>
  <si>
    <t>Strife</t>
  </si>
  <si>
    <t>a struggle or clash</t>
  </si>
  <si>
    <t>Civil strife tore the country apart.</t>
  </si>
  <si>
    <t>Stringent</t>
  </si>
  <si>
    <t>restrictive</t>
  </si>
  <si>
    <t>The company enforced stringent safety rules.</t>
  </si>
  <si>
    <t>Stymie</t>
  </si>
  <si>
    <t>to get in the way of</t>
  </si>
  <si>
    <t>The lack of funding stymied the research project.</t>
  </si>
  <si>
    <t>Subjugate</t>
  </si>
  <si>
    <t>to enslave</t>
  </si>
  <si>
    <t>The empire subjugated neighboring peoples.</t>
  </si>
  <si>
    <t>Sublime</t>
  </si>
  <si>
    <t>awesome</t>
  </si>
  <si>
    <t>The mountain scenery was simply sublime.</t>
  </si>
  <si>
    <t>Subordinate</t>
  </si>
  <si>
    <t>inferior</t>
  </si>
  <si>
    <t>He was subordinate to the regional manager.</t>
  </si>
  <si>
    <t>Substantive</t>
  </si>
  <si>
    <t>essential; solid</t>
  </si>
  <si>
    <t>We need substantive progress in negotiations.</t>
  </si>
  <si>
    <t>Subtle</t>
  </si>
  <si>
    <t>not obvious</t>
  </si>
  <si>
    <t>She made a subtle change to her hairstyle.</t>
  </si>
  <si>
    <t>Subversive</t>
  </si>
  <si>
    <t>insurgent</t>
  </si>
  <si>
    <t>The government banned the subversive pamphlets.</t>
  </si>
  <si>
    <t>Succinct</t>
  </si>
  <si>
    <t>brief and to the point</t>
  </si>
  <si>
    <t>His succinct reply answered all the questions.</t>
  </si>
  <si>
    <t>Succumb</t>
  </si>
  <si>
    <t>to yield or submit</t>
  </si>
  <si>
    <t>He succumbed to the illness after a long fight.</t>
  </si>
  <si>
    <t>Supercilious</t>
  </si>
  <si>
    <t>haughty</t>
  </si>
  <si>
    <t>Her supercilious attitude made everyone uncomfortable.</t>
  </si>
  <si>
    <t>Superficial</t>
  </si>
  <si>
    <t>not thorough</t>
  </si>
  <si>
    <t>His knowledge of history was superficial.</t>
  </si>
  <si>
    <t>Superfluous</t>
  </si>
  <si>
    <t>Please remove any superfluous details.</t>
  </si>
  <si>
    <t>Surfeit</t>
  </si>
  <si>
    <t>excess or overindulgence in eating or drinking</t>
  </si>
  <si>
    <t>A surfeit of food left him feeling ill.</t>
  </si>
  <si>
    <t>Surreptitious</t>
  </si>
  <si>
    <t>He made a surreptitious recording.</t>
  </si>
  <si>
    <t>Surrogate</t>
  </si>
  <si>
    <t>substitute</t>
  </si>
  <si>
    <t>She acted as a surrogate mother.</t>
  </si>
  <si>
    <t>Sycophant</t>
  </si>
  <si>
    <t>one who sucks up to others</t>
  </si>
  <si>
    <t>The boss was surrounded by sycophants.</t>
  </si>
  <si>
    <t>Synthesis</t>
  </si>
  <si>
    <t>the combining of parts to form a whole</t>
  </si>
  <si>
    <t>His essay was a synthesis of several theories.</t>
  </si>
  <si>
    <t>Tacit</t>
  </si>
  <si>
    <t>implied</t>
  </si>
  <si>
    <t>There was a tacit agreement to avoid the topic.</t>
  </si>
  <si>
    <t>Taciturn</t>
  </si>
  <si>
    <t>untalkative by nature</t>
  </si>
  <si>
    <t>The taciturn soldier answered only in monosyllables.</t>
  </si>
  <si>
    <t>Tangenital</t>
  </si>
  <si>
    <t>only superficially related to the matter at
hand</t>
  </si>
  <si>
    <t>His comment was tangential to the main argument.</t>
  </si>
  <si>
    <t>Tangible</t>
  </si>
  <si>
    <t>touchable</t>
  </si>
  <si>
    <t>We need tangible evidence, not just theories.</t>
  </si>
  <si>
    <t>Tantamount</t>
  </si>
  <si>
    <t>equivalent to</t>
  </si>
  <si>
    <t>His absence was tantamount to a refusal.</t>
  </si>
  <si>
    <t>Tautological</t>
  </si>
  <si>
    <t>redundant</t>
  </si>
  <si>
    <t>His sentence was tautological: 'a free gift.'</t>
  </si>
  <si>
    <t>Temerity</t>
  </si>
  <si>
    <t>He had the temerity to challenge the professor.</t>
  </si>
  <si>
    <t>Temperate</t>
  </si>
  <si>
    <t>mild</t>
  </si>
  <si>
    <t>He had a temperate and balanced personality.</t>
  </si>
  <si>
    <t>Tenable</t>
  </si>
  <si>
    <t>valid</t>
  </si>
  <si>
    <t>His position is no longer tenable given the evidence.</t>
  </si>
  <si>
    <t>Tenacious</t>
  </si>
  <si>
    <t>not letting go</t>
  </si>
  <si>
    <t>She was tenacious in her pursuit of justice.</t>
  </si>
  <si>
    <t>Tenet</t>
  </si>
  <si>
    <t>a shared principle or belief</t>
  </si>
  <si>
    <t>Compassion is a core tenet of Buddhism.</t>
  </si>
  <si>
    <t>Tentative</t>
  </si>
  <si>
    <t>temporary; uncertain</t>
  </si>
  <si>
    <t>We made a tentative plan to meet on Friday.</t>
  </si>
  <si>
    <t>Tenuous</t>
  </si>
  <si>
    <t>flimsy</t>
  </si>
  <si>
    <t>His argument rested on a tenuous assumption.</t>
  </si>
  <si>
    <t>Terse</t>
  </si>
  <si>
    <t>His terse reply showed he was not in the mood for discussion.</t>
  </si>
  <si>
    <t>Theology</t>
  </si>
  <si>
    <t>the study of God or religion</t>
  </si>
  <si>
    <t>He studied theology at university.</t>
  </si>
  <si>
    <t>Tirade</t>
  </si>
  <si>
    <t>a prolonged bitter speech</t>
  </si>
  <si>
    <t>He launched into a tirade against the government.</t>
  </si>
  <si>
    <t>Torpor</t>
  </si>
  <si>
    <t>inactivity; sluggishness</t>
  </si>
  <si>
    <t>He fell into a torpor after the loss.</t>
  </si>
  <si>
    <t>Touchstone</t>
  </si>
  <si>
    <t>a test of authenticity or quality</t>
  </si>
  <si>
    <t>Honesty is the touchstone of good character.</t>
  </si>
  <si>
    <t>Tout</t>
  </si>
  <si>
    <t>to brag publicly about</t>
  </si>
  <si>
    <t>He touted his achievements at every meeting.</t>
  </si>
  <si>
    <t>Transcend</t>
  </si>
  <si>
    <t>to surpass</t>
  </si>
  <si>
    <t>Her talent transcended all expectations.</t>
  </si>
  <si>
    <t>Transgress</t>
  </si>
  <si>
    <t>to sin</t>
  </si>
  <si>
    <t>He transgressed every social norm.</t>
  </si>
  <si>
    <t>Transient</t>
  </si>
  <si>
    <t>temporary</t>
  </si>
  <si>
    <t>His happiness was transient.</t>
  </si>
  <si>
    <t>Trepidation</t>
  </si>
  <si>
    <t>apprehension</t>
  </si>
  <si>
    <t>She entered the room with trepidation.</t>
  </si>
  <si>
    <t>Turpitude</t>
  </si>
  <si>
    <t>shameful wickedness</t>
  </si>
  <si>
    <t>He was convicted of moral turpitude.</t>
  </si>
  <si>
    <t>Ubiquitous</t>
  </si>
  <si>
    <t>being everywhere at the same time</t>
  </si>
  <si>
    <t>Smartphones are ubiquitous in modern life.</t>
  </si>
  <si>
    <t>Unconscionable</t>
  </si>
  <si>
    <t>not controlled by conscience</t>
  </si>
  <si>
    <t>The price hike was unconscionable.</t>
  </si>
  <si>
    <t>Unctuous</t>
  </si>
  <si>
    <t>oily; insincere</t>
  </si>
  <si>
    <t>His unctuous manner fooled no one.</t>
  </si>
  <si>
    <t>Uniform</t>
  </si>
  <si>
    <t>the same for everyone</t>
  </si>
  <si>
    <t>Treatment should be uniform regardless of status.</t>
  </si>
  <si>
    <t>Unremitting</t>
  </si>
  <si>
    <t>His unremitting effort finally brought success.</t>
  </si>
  <si>
    <t>Unwitting</t>
  </si>
  <si>
    <t>ignorant; not aware</t>
  </si>
  <si>
    <t>He was an unwitting accomplice in the crime.</t>
  </si>
  <si>
    <t>Urbane</t>
  </si>
  <si>
    <t>sophisticated</t>
  </si>
  <si>
    <t>His urbane charm won over everyone at the gala.</t>
  </si>
  <si>
    <t>Usurp</t>
  </si>
  <si>
    <t>to seize wrongfully</t>
  </si>
  <si>
    <t>He usurped the throne by force.</t>
  </si>
  <si>
    <t>Utilitarian</t>
  </si>
  <si>
    <t>pragmatic</t>
  </si>
  <si>
    <t>The furniture was utilitarian rather than decorative.</t>
  </si>
  <si>
    <t>Utopia</t>
  </si>
  <si>
    <t>an ideal society</t>
  </si>
  <si>
    <t>He dreamed of building a utopia without conflict.</t>
  </si>
  <si>
    <t>Vacillate</t>
  </si>
  <si>
    <t>to be indecisive</t>
  </si>
  <si>
    <t>She vacillated for weeks before deciding.</t>
  </si>
  <si>
    <t>Vapid</t>
  </si>
  <si>
    <t>spiritless</t>
  </si>
  <si>
    <t>His vapid comments added nothing to the discussion.</t>
  </si>
  <si>
    <t>Vehement</t>
  </si>
  <si>
    <t>violent; forceful; intense</t>
  </si>
  <si>
    <t>She was vehement in her opposition.</t>
  </si>
  <si>
    <t>Venal</t>
  </si>
  <si>
    <t>capable of being bribed</t>
  </si>
  <si>
    <t>The venal official accepted cash in exchange for permits.</t>
  </si>
  <si>
    <t>Venerate</t>
  </si>
  <si>
    <t>to treat as something holy, especially because of great age</t>
  </si>
  <si>
    <t>The ancient temple was venerated by thousands.</t>
  </si>
  <si>
    <t>Veracity</t>
  </si>
  <si>
    <t>truthfulness</t>
  </si>
  <si>
    <t>The journalist questioned the veracity of the report.</t>
  </si>
  <si>
    <t>Verbose</t>
  </si>
  <si>
    <t>using too many words</t>
  </si>
  <si>
    <t>His verbose essay lost its impact.</t>
  </si>
  <si>
    <t>Verisimilitude</t>
  </si>
  <si>
    <t>the appearance of truth</t>
  </si>
  <si>
    <t>The novel's verisimilitude made readers feel they were there.</t>
  </si>
  <si>
    <t>Vernacular</t>
  </si>
  <si>
    <t>slang; idiom</t>
  </si>
  <si>
    <t>He wrote in the vernacular so everyone could understand.</t>
  </si>
  <si>
    <t>Vestige</t>
  </si>
  <si>
    <t>remainder; a last trace</t>
  </si>
  <si>
    <t>There was no vestige of the old building left.</t>
  </si>
  <si>
    <t>Vex</t>
  </si>
  <si>
    <t>His constant interruptions vexed her.</t>
  </si>
  <si>
    <t>Viable</t>
  </si>
  <si>
    <t>capable of living</t>
  </si>
  <si>
    <t>Is this business plan viable?</t>
  </si>
  <si>
    <t>Vicarious</t>
  </si>
  <si>
    <t>living through the experiences of another as though they were
one's own</t>
  </si>
  <si>
    <t>She enjoyed vicarious thrills watching adventure films.</t>
  </si>
  <si>
    <t>Vicissitude</t>
  </si>
  <si>
    <t>natural change; change in fortune</t>
  </si>
  <si>
    <t>He endured the vicissitudes of life with courage.</t>
  </si>
  <si>
    <t>Vilify</t>
  </si>
  <si>
    <t>to defame</t>
  </si>
  <si>
    <t>The press vilified him before the trial.</t>
  </si>
  <si>
    <t>Vindicate</t>
  </si>
  <si>
    <t>to clear from all blame or suspicion</t>
  </si>
  <si>
    <t>Her performance vindicated the coach's decision.</t>
  </si>
  <si>
    <t>Vindictive</t>
  </si>
  <si>
    <t>seeking revenge</t>
  </si>
  <si>
    <t>He sent vindictive messages to his ex-boss.</t>
  </si>
  <si>
    <t>Virtuoso</t>
  </si>
  <si>
    <t>a masterful musician</t>
  </si>
  <si>
    <t>He performed as a piano virtuoso at just sixteen.</t>
  </si>
  <si>
    <t>Virulent</t>
  </si>
  <si>
    <t>full of hate; extremely poisonous</t>
  </si>
  <si>
    <t>The virulent disease spread rapidly.</t>
  </si>
  <si>
    <t>Visionary</t>
  </si>
  <si>
    <t>someone with impractical goals or
ideals about the future</t>
  </si>
  <si>
    <t>Steve Jobs was a true visionary.</t>
  </si>
  <si>
    <t>Vitiate</t>
  </si>
  <si>
    <t>to pollute</t>
  </si>
  <si>
    <t>Corruption vitiates the entire system.</t>
  </si>
  <si>
    <t>Vitriolic</t>
  </si>
  <si>
    <t>caustic</t>
  </si>
  <si>
    <t>His vitriolic review destroyed the author's reputation.</t>
  </si>
  <si>
    <t>Vocation</t>
  </si>
  <si>
    <t>a job</t>
  </si>
  <si>
    <t>Teaching is not just a job — it's a vocation.</t>
  </si>
  <si>
    <t>Vociferous</t>
  </si>
  <si>
    <t>noisy</t>
  </si>
  <si>
    <t>He was vociferous in his demands for justice.</t>
  </si>
  <si>
    <t>Volatile</t>
  </si>
  <si>
    <t>explosive; highly unstable</t>
  </si>
  <si>
    <t>The volatile market lost ten percent in one day.</t>
  </si>
  <si>
    <t>Volition</t>
  </si>
  <si>
    <t>conscious choice</t>
  </si>
  <si>
    <t>He left of his own volition.</t>
  </si>
  <si>
    <t>Wanton</t>
  </si>
  <si>
    <t>malicious</t>
  </si>
  <si>
    <t>The attack was an act of wanton cruelty.</t>
  </si>
  <si>
    <t>Willful</t>
  </si>
  <si>
    <t>deliberate</t>
  </si>
  <si>
    <t>His willful ignorance of the facts was frustrating.</t>
  </si>
  <si>
    <t>Wistful</t>
  </si>
  <si>
    <t>sadly longing</t>
  </si>
  <si>
    <t>She gave a wistful smile when she saw the old photo.</t>
  </si>
  <si>
    <t>Zealous</t>
  </si>
  <si>
    <t>enthusiastically devoted to something</t>
  </si>
  <si>
    <t>He was a zealous advocate for education reform.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</si>
</sst>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000000"/>
      <name val="Arial"/>
    </font>
    <font>
      <b/>
      <color rgb="FFFFFFFF"/>
      <name val="Times New Roman"/>
    </font>
    <font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9">
    <border/>
    <border>
      <left style="thin">
        <color rgb="FF4F81BD"/>
      </left>
      <top style="thin">
        <color rgb="FF4F81BD"/>
      </top>
    </border>
    <border>
      <top style="thin">
        <color rgb="FF4F81BD"/>
      </top>
    </border>
    <border>
      <right style="thin">
        <color rgb="FF4F81BD"/>
      </right>
      <top style="thin">
        <color rgb="FF4F81BD"/>
      </top>
    </border>
    <border>
      <left style="thin">
        <color rgb="FF4F81BD"/>
      </left>
    </border>
    <border>
      <right style="thin">
        <color rgb="FF4F81BD"/>
      </right>
    </border>
    <border>
      <left style="thin">
        <color rgb="FF4F81BD"/>
      </left>
      <bottom style="thin">
        <color rgb="FF4F81BD"/>
      </bottom>
    </border>
    <border>
      <bottom style="thin">
        <color rgb="FF4F81BD"/>
      </bottom>
    </border>
    <border>
      <right style="thin">
        <color rgb="FF4F81BD"/>
      </right>
      <bottom style="thin">
        <color rgb="FF4F81B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quotePrefix="1" borderId="5" fillId="0" fontId="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17.88"/>
    <col customWidth="1" min="4" max="4" width="51.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tr">
        <f>IFERROR(__xludf.DUMMYFUNCTION("GOOGLETRANSLATE(B2, ""EN"", ""BN"")"),"অপমান করা")</f>
        <v>অপমান করা</v>
      </c>
      <c r="D2" s="8" t="s">
        <v>6</v>
      </c>
    </row>
    <row r="3">
      <c r="A3" s="5" t="s">
        <v>7</v>
      </c>
      <c r="B3" s="6" t="s">
        <v>8</v>
      </c>
      <c r="C3" s="7" t="str">
        <f>IFERROR(__xludf.DUMMYFUNCTION("GOOGLETRANSLATE(B3, ""EN"", ""BN"")"),"বিব্রত করা")</f>
        <v>বিব্রত করা</v>
      </c>
      <c r="D3" s="8" t="s">
        <v>9</v>
      </c>
    </row>
    <row r="4">
      <c r="A4" s="5" t="s">
        <v>10</v>
      </c>
      <c r="B4" s="6" t="s">
        <v>11</v>
      </c>
      <c r="C4" s="7" t="str">
        <f>IFERROR(__xludf.DUMMYFUNCTION("GOOGLETRANSLATE(B4, ""EN"", ""BN"")"),"কমাতে")</f>
        <v>কমাতে</v>
      </c>
      <c r="D4" s="8" t="s">
        <v>12</v>
      </c>
    </row>
    <row r="5">
      <c r="A5" s="5" t="s">
        <v>13</v>
      </c>
      <c r="B5" s="6" t="s">
        <v>14</v>
      </c>
      <c r="C5" s="7" t="str">
        <f>IFERROR(__xludf.DUMMYFUNCTION("GOOGLETRANSLATE(B5, ""EN"", ""BN"")"),"ক্ষমতার পদ থেকে সরে দাঁড়ানো")</f>
        <v>ক্ষমতার পদ থেকে সরে দাঁড়ানো</v>
      </c>
      <c r="D5" s="8" t="s">
        <v>15</v>
      </c>
    </row>
    <row r="6">
      <c r="A6" s="5" t="s">
        <v>16</v>
      </c>
      <c r="B6" s="6" t="s">
        <v>17</v>
      </c>
      <c r="C6" s="7" t="str">
        <f>IFERROR(__xludf.DUMMYFUNCTION("GOOGLETRANSLATE(B6, ""EN"", ""BN"")"),"অস্বাভাবিক কিছু")</f>
        <v>অস্বাভাবিক কিছু</v>
      </c>
      <c r="D6" s="8" t="s">
        <v>18</v>
      </c>
    </row>
    <row r="7">
      <c r="A7" s="5" t="s">
        <v>19</v>
      </c>
      <c r="B7" s="6" t="s">
        <v>20</v>
      </c>
      <c r="C7" s="7" t="str">
        <f>IFERROR(__xludf.DUMMYFUNCTION("GOOGLETRANSLATE(B7, ""EN"", ""BN"")"),"ভুল করেছে এমন কাউকে সমর্থন বা উৎসাহিত করা")</f>
        <v>ভুল করেছে এমন কাউকে সমর্থন বা উৎসাহিত করা</v>
      </c>
      <c r="D7" s="8" t="s">
        <v>21</v>
      </c>
    </row>
    <row r="8">
      <c r="A8" s="5" t="s">
        <v>22</v>
      </c>
      <c r="B8" s="6" t="s">
        <v>23</v>
      </c>
      <c r="C8" s="7" t="str">
        <f>IFERROR(__xludf.DUMMYFUNCTION("GOOGLETRANSLATE(B8, ""EN"", ""BN"")"),"সাসপেনশন")</f>
        <v>সাসপেনশন</v>
      </c>
      <c r="D8" s="8" t="s">
        <v>24</v>
      </c>
    </row>
    <row r="9">
      <c r="A9" s="5" t="s">
        <v>25</v>
      </c>
      <c r="B9" s="6" t="s">
        <v>26</v>
      </c>
      <c r="C9" s="7" t="str">
        <f>IFERROR(__xludf.DUMMYFUNCTION("GOOGLETRANSLATE(B9, ""EN"", ""BN"")"),"ঘৃণা করতে")</f>
        <v>ঘৃণা করতে</v>
      </c>
      <c r="D9" s="8" t="s">
        <v>27</v>
      </c>
    </row>
    <row r="10">
      <c r="A10" s="5" t="s">
        <v>28</v>
      </c>
      <c r="B10" s="6" t="s">
        <v>29</v>
      </c>
      <c r="C10" s="7" t="str">
        <f>IFERROR(__xludf.DUMMYFUNCTION("GOOGLETRANSLATE(B10, ""EN"", ""BN"")"),"হতাশাজনক")</f>
        <v>হতাশাজনক</v>
      </c>
      <c r="D10" s="8" t="s">
        <v>30</v>
      </c>
    </row>
    <row r="11">
      <c r="A11" s="5" t="s">
        <v>31</v>
      </c>
      <c r="B11" s="6" t="s">
        <v>32</v>
      </c>
      <c r="C11" s="7" t="str">
        <f>IFERROR(__xludf.DUMMYFUNCTION("GOOGLETRANSLATE(B11, ""EN"", ""BN"")"),"বিরত থাকা")</f>
        <v>বিরত থাকা</v>
      </c>
      <c r="D11" s="8" t="s">
        <v>33</v>
      </c>
    </row>
    <row r="12">
      <c r="A12" s="5" t="s">
        <v>34</v>
      </c>
      <c r="B12" s="6" t="s">
        <v>35</v>
      </c>
      <c r="C12" s="7" t="str">
        <f>IFERROR(__xludf.DUMMYFUNCTION("GOOGLETRANSLATE(B12, ""EN"", ""BN"")"),"প্রত্যাখ্যান করতে")</f>
        <v>প্রত্যাখ্যান করতে</v>
      </c>
      <c r="D12" s="8" t="s">
        <v>36</v>
      </c>
    </row>
    <row r="13">
      <c r="A13" s="5" t="s">
        <v>37</v>
      </c>
      <c r="B13" s="6" t="s">
        <v>38</v>
      </c>
      <c r="C13" s="7" t="str">
        <f>IFERROR(__xludf.DUMMYFUNCTION("GOOGLETRANSLATE(B13, ""EN"", ""BN"")"),"চরম ঘৃণা")</f>
        <v>চরম ঘৃণা</v>
      </c>
      <c r="D13" s="8" t="s">
        <v>39</v>
      </c>
    </row>
    <row r="14">
      <c r="A14" s="5" t="s">
        <v>40</v>
      </c>
      <c r="B14" s="6" t="s">
        <v>41</v>
      </c>
      <c r="C14" s="7" t="str">
        <f>IFERROR(__xludf.DUMMYFUNCTION("GOOGLETRANSLATE(B14, ""EN"", ""BN"")"),"স্থানীয়")</f>
        <v>স্থানীয়</v>
      </c>
      <c r="D14" s="8" t="s">
        <v>42</v>
      </c>
    </row>
    <row r="15">
      <c r="A15" s="5" t="s">
        <v>43</v>
      </c>
      <c r="B15" s="6" t="s">
        <v>44</v>
      </c>
      <c r="C15" s="7" t="str">
        <f>IFERROR(__xludf.DUMMYFUNCTION("GOOGLETRANSLATE(B15, ""EN"", ""BN"")"),"অসফল")</f>
        <v>অসফল</v>
      </c>
      <c r="D15" s="8" t="s">
        <v>45</v>
      </c>
    </row>
    <row r="16">
      <c r="A16" s="5" t="s">
        <v>46</v>
      </c>
      <c r="B16" s="6" t="s">
        <v>47</v>
      </c>
      <c r="C16" s="7" t="str">
        <f>IFERROR(__xludf.DUMMYFUNCTION("GOOGLETRANSLATE(B16, ""EN"", ""BN"")"),"খুব সংখ্যায় অনেক হতে")</f>
        <v>খুব সংখ্যায় অনেক হতে</v>
      </c>
      <c r="D16" s="8" t="s">
        <v>48</v>
      </c>
    </row>
    <row r="17">
      <c r="A17" s="5" t="s">
        <v>49</v>
      </c>
      <c r="B17" s="6" t="s">
        <v>50</v>
      </c>
      <c r="C17" s="7" t="str">
        <f>IFERROR(__xludf.DUMMYFUNCTION("GOOGLETRANSLATE(B17, ""EN"", ""BN"")"),"সংক্ষিপ্ত করতে")</f>
        <v>সংক্ষিপ্ত করতে</v>
      </c>
      <c r="D17" s="8" t="s">
        <v>51</v>
      </c>
    </row>
    <row r="18">
      <c r="A18" s="5" t="s">
        <v>52</v>
      </c>
      <c r="B18" s="6" t="s">
        <v>53</v>
      </c>
      <c r="C18" s="7" t="str">
        <f>IFERROR(__xludf.DUMMYFUNCTION("GOOGLETRANSLATE(B18, ""EN"", ""BN"")"),"বাতিল করতে")</f>
        <v>বাতিল করতে</v>
      </c>
      <c r="D18" s="8" t="s">
        <v>54</v>
      </c>
    </row>
    <row r="19">
      <c r="A19" s="5" t="s">
        <v>55</v>
      </c>
      <c r="B19" s="6" t="s">
        <v>56</v>
      </c>
      <c r="C19" s="7" t="str">
        <f>IFERROR(__xludf.DUMMYFUNCTION("GOOGLETRANSLATE(B19, ""EN"", ""BN"")"),"মোট")</f>
        <v>মোট</v>
      </c>
      <c r="D19" s="8" t="s">
        <v>57</v>
      </c>
    </row>
    <row r="20">
      <c r="A20" s="5" t="s">
        <v>58</v>
      </c>
      <c r="B20" s="6" t="s">
        <v>59</v>
      </c>
      <c r="C20" s="7" t="str">
        <f>IFERROR(__xludf.DUMMYFUNCTION("GOOGLETRANSLATE(B20, ""EN"", ""BN"")"),"দোষ থেকে মুক্ত করতে")</f>
        <v>দোষ থেকে মুক্ত করতে</v>
      </c>
      <c r="D20" s="8" t="s">
        <v>60</v>
      </c>
    </row>
    <row r="21">
      <c r="A21" s="5" t="s">
        <v>61</v>
      </c>
      <c r="B21" s="6" t="s">
        <v>62</v>
      </c>
      <c r="C21" s="7" t="str">
        <f>IFERROR(__xludf.DUMMYFUNCTION("GOOGLETRANSLATE(B21, ""EN"", ""BN"")"),"স্বেচ্ছায় কিছু না করা")</f>
        <v>স্বেচ্ছায় কিছু না করা</v>
      </c>
      <c r="D21" s="8" t="s">
        <v>63</v>
      </c>
    </row>
    <row r="22">
      <c r="A22" s="5" t="s">
        <v>64</v>
      </c>
      <c r="B22" s="6" t="s">
        <v>65</v>
      </c>
      <c r="C22" s="7" t="str">
        <f>IFERROR(__xludf.DUMMYFUNCTION("GOOGLETRANSLATE(B22, ""EN"", ""BN"")"),"তাত্ত্বিক")</f>
        <v>তাত্ত্বিক</v>
      </c>
      <c r="D22" s="8" t="s">
        <v>66</v>
      </c>
    </row>
    <row r="23">
      <c r="A23" s="5" t="s">
        <v>67</v>
      </c>
      <c r="B23" s="6" t="s">
        <v>68</v>
      </c>
      <c r="C23" s="7" t="str">
        <f>IFERROR(__xludf.DUMMYFUNCTION("GOOGLETRANSLATE(B23, ""EN"", ""BN"")"),"বোঝা কঠিন")</f>
        <v>বোঝা কঠিন</v>
      </c>
      <c r="D23" s="8" t="s">
        <v>69</v>
      </c>
    </row>
    <row r="24">
      <c r="A24" s="5" t="s">
        <v>70</v>
      </c>
      <c r="B24" s="6" t="s">
        <v>71</v>
      </c>
      <c r="C24" s="7" t="str">
        <f>IFERROR(__xludf.DUMMYFUNCTION("GOOGLETRANSLATE(B24, ""EN"", ""BN"")"),"অত্যন্ত হতাশাজনক; অতল")</f>
        <v>অত্যন্ত হতাশাজনক; অতল</v>
      </c>
      <c r="D24" s="8" t="s">
        <v>72</v>
      </c>
    </row>
    <row r="25">
      <c r="A25" s="5" t="s">
        <v>73</v>
      </c>
      <c r="B25" s="6" t="s">
        <v>74</v>
      </c>
      <c r="C25" s="7" t="str">
        <f>IFERROR(__xludf.DUMMYFUNCTION("GOOGLETRANSLATE(B25, ""EN"", ""BN"")"),"হার মানতে")</f>
        <v>হার মানতে</v>
      </c>
      <c r="D25" s="8" t="s">
        <v>75</v>
      </c>
    </row>
    <row r="26">
      <c r="A26" s="5" t="s">
        <v>76</v>
      </c>
      <c r="B26" s="6" t="s">
        <v>77</v>
      </c>
      <c r="C26" s="7" t="str">
        <f>IFERROR(__xludf.DUMMYFUNCTION("GOOGLETRANSLATE(B26, ""EN"", ""BN"")"),"জোর দিতে")</f>
        <v>জোর দিতে</v>
      </c>
      <c r="D26" s="8" t="s">
        <v>78</v>
      </c>
    </row>
    <row r="27">
      <c r="A27" s="5" t="s">
        <v>79</v>
      </c>
      <c r="B27" s="6" t="s">
        <v>80</v>
      </c>
      <c r="C27" s="7" t="str">
        <f>IFERROR(__xludf.DUMMYFUNCTION("GOOGLETRANSLATE(B27, ""EN"", ""BN"")"),"কাছে যাওয়ার, প্রবেশ করার বা ব্যবহার করার অধিকার বা ক্ষমতা")</f>
        <v>কাছে যাওয়ার, প্রবেশ করার বা ব্যবহার করার অধিকার বা ক্ষমতা</v>
      </c>
      <c r="D27" s="8" t="s">
        <v>81</v>
      </c>
    </row>
    <row r="28">
      <c r="A28" s="5" t="s">
        <v>82</v>
      </c>
      <c r="B28" s="6" t="s">
        <v>83</v>
      </c>
      <c r="C28" s="7" t="str">
        <f>IFERROR(__xludf.DUMMYFUNCTION("GOOGLETRANSLATE(B28, ""EN"", ""BN"")"),"প্রকাশ্যে এবং উৎসাহের সাথে প্রশংসা করা")</f>
        <v>প্রকাশ্যে এবং উৎসাহের সাথে প্রশংসা করা</v>
      </c>
      <c r="D28" s="8" t="s">
        <v>84</v>
      </c>
    </row>
    <row r="29">
      <c r="A29" s="5" t="s">
        <v>85</v>
      </c>
      <c r="B29" s="6" t="s">
        <v>86</v>
      </c>
      <c r="C29" s="7" t="str">
        <f>IFERROR(__xludf.DUMMYFUNCTION("GOOGLETRANSLATE(B29, ""EN"", ""BN"")"),"একটি সম্মান")</f>
        <v>একটি সম্মান</v>
      </c>
      <c r="D29" s="8" t="s">
        <v>87</v>
      </c>
    </row>
    <row r="30">
      <c r="A30" s="5" t="s">
        <v>88</v>
      </c>
      <c r="B30" s="6" t="s">
        <v>89</v>
      </c>
      <c r="C30" s="7" t="str">
        <f>IFERROR(__xludf.DUMMYFUNCTION("GOOGLETRANSLATE(B30, ""EN"", ""BN"")"),"সম্মত হতে")</f>
        <v>সম্মত হতে</v>
      </c>
      <c r="D30" s="8" t="s">
        <v>90</v>
      </c>
    </row>
    <row r="31">
      <c r="A31" s="5" t="s">
        <v>91</v>
      </c>
      <c r="B31" s="6" t="s">
        <v>92</v>
      </c>
      <c r="C31" s="7" t="str">
        <f>IFERROR(__xludf.DUMMYFUNCTION("GOOGLETRANSLATE(B31, ""EN"", ""BN"")"),"কারো কাছে গিয়ে কথা বলা")</f>
        <v>কারো কাছে গিয়ে কথা বলা</v>
      </c>
      <c r="D31" s="8" t="s">
        <v>93</v>
      </c>
    </row>
    <row r="32">
      <c r="A32" s="5" t="s">
        <v>94</v>
      </c>
      <c r="B32" s="6" t="s">
        <v>95</v>
      </c>
      <c r="C32" s="7" t="str">
        <f>IFERROR(__xludf.DUMMYFUNCTION("GOOGLETRANSLATE(B32, ""EN"", ""BN"")"),"ব্যক্তিগত পোশাক, আনুষঙ্গিক সামগ্রী বা
সরঞ্জাম")</f>
        <v>ব্যক্তিগত পোশাক, আনুষঙ্গিক সামগ্রী বা
সরঞ্জাম</v>
      </c>
      <c r="D32" s="8" t="s">
        <v>96</v>
      </c>
    </row>
    <row r="33">
      <c r="A33" s="5" t="s">
        <v>97</v>
      </c>
      <c r="B33" s="6" t="s">
        <v>98</v>
      </c>
      <c r="C33" s="7" t="str">
        <f>IFERROR(__xludf.DUMMYFUNCTION("GOOGLETRANSLATE(B33, ""EN"", ""BN"")"),"সময়ের সাথে সাথে জমা হতে")</f>
        <v>সময়ের সাথে সাথে জমা হতে</v>
      </c>
      <c r="D33" s="8" t="s">
        <v>99</v>
      </c>
    </row>
    <row r="34">
      <c r="A34" s="5" t="s">
        <v>100</v>
      </c>
      <c r="B34" s="6" t="s">
        <v>101</v>
      </c>
      <c r="C34" s="7" t="str">
        <f>IFERROR(__xludf.DUMMYFUNCTION("GOOGLETRANSLATE(B34, ""EN"", ""BN"")"),"তিক্ত; টক; তীব্র")</f>
        <v>তিক্ত; টক; তীব্র</v>
      </c>
      <c r="D34" s="8" t="s">
        <v>102</v>
      </c>
    </row>
    <row r="35">
      <c r="A35" s="5" t="s">
        <v>103</v>
      </c>
      <c r="B35" s="6" t="s">
        <v>104</v>
      </c>
      <c r="C35" s="7" t="str">
        <f>IFERROR(__xludf.DUMMYFUNCTION("GOOGLETRANSLATE(B35, ""EN"", ""BN"")"),"নিষ্ক্রিয়ভাবে মেনে চলতে")</f>
        <v>নিষ্ক্রিয়ভাবে মেনে চলতে</v>
      </c>
      <c r="D35" s="8" t="s">
        <v>105</v>
      </c>
    </row>
    <row r="36">
      <c r="A36" s="5" t="s">
        <v>106</v>
      </c>
      <c r="B36" s="6" t="s">
        <v>107</v>
      </c>
      <c r="C36" s="7" t="str">
        <f>IFERROR(__xludf.DUMMYFUNCTION("GOOGLETRANSLATE(B36, ""EN"", ""BN"")"),"লোভী")</f>
        <v>লোভী</v>
      </c>
      <c r="D36" s="8" t="s">
        <v>108</v>
      </c>
    </row>
    <row r="37">
      <c r="A37" s="5" t="s">
        <v>109</v>
      </c>
      <c r="B37" s="6" t="s">
        <v>110</v>
      </c>
      <c r="C37" s="7" t="str">
        <f>IFERROR(__xludf.DUMMYFUNCTION("GOOGLETRANSLATE(B37, ""EN"", ""BN"")"),"নির্দোষ খুঁজে পাওয়া")</f>
        <v>নির্দোষ খুঁজে পাওয়া</v>
      </c>
      <c r="D37" s="8" t="s">
        <v>111</v>
      </c>
    </row>
    <row r="38">
      <c r="A38" s="5" t="s">
        <v>112</v>
      </c>
      <c r="B38" s="6" t="s">
        <v>113</v>
      </c>
      <c r="C38" s="7" t="str">
        <f>IFERROR(__xludf.DUMMYFUNCTION("GOOGLETRANSLATE(B38, ""EN"", ""BN"")"),"কঠোর")</f>
        <v>কঠোর</v>
      </c>
      <c r="D38" s="8" t="s">
        <v>114</v>
      </c>
    </row>
    <row r="39">
      <c r="A39" s="5" t="s">
        <v>115</v>
      </c>
      <c r="B39" s="6" t="s">
        <v>116</v>
      </c>
      <c r="C39" s="7" t="str">
        <f>IFERROR(__xludf.DUMMYFUNCTION("GOOGLETRANSLATE(B39, ""EN"", ""BN"")"),"তিক্ত")</f>
        <v>তিক্ত</v>
      </c>
      <c r="D39" s="8" t="s">
        <v>117</v>
      </c>
    </row>
    <row r="40">
      <c r="A40" s="5" t="s">
        <v>118</v>
      </c>
      <c r="B40" s="6" t="s">
        <v>119</v>
      </c>
      <c r="C40" s="7" t="str">
        <f>IFERROR(__xludf.DUMMYFUNCTION("GOOGLETRANSLATE(B40, ""EN"", ""BN"")"),"অন্যান্য শব্দের আদ্যক্ষর দিয়ে গঠিত একটি শব্দ")</f>
        <v>অন্যান্য শব্দের আদ্যক্ষর দিয়ে গঠিত একটি শব্দ</v>
      </c>
      <c r="D40" s="8" t="s">
        <v>120</v>
      </c>
    </row>
    <row r="41">
      <c r="A41" s="5" t="s">
        <v>121</v>
      </c>
      <c r="B41" s="6" t="s">
        <v>122</v>
      </c>
      <c r="C41" s="7" t="str">
        <f>IFERROR(__xludf.DUMMYFUNCTION("GOOGLETRANSLATE(B41, ""EN"", ""BN"")"),"মানসিক তীক্ষ্ণতা")</f>
        <v>মানসিক তীক্ষ্ণতা</v>
      </c>
      <c r="D41" s="8" t="s">
        <v>123</v>
      </c>
    </row>
    <row r="42">
      <c r="A42" s="5" t="s">
        <v>124</v>
      </c>
      <c r="B42" s="6" t="s">
        <v>125</v>
      </c>
      <c r="C42" s="7" t="str">
        <f>IFERROR(__xludf.DUMMYFUNCTION("GOOGLETRANSLATE(B42, ""EN"", ""BN"")"),"ধারালো")</f>
        <v>ধারালো</v>
      </c>
      <c r="D42" s="8" t="s">
        <v>126</v>
      </c>
    </row>
    <row r="43">
      <c r="A43" s="5" t="s">
        <v>127</v>
      </c>
      <c r="B43" s="6" t="s">
        <v>128</v>
      </c>
      <c r="C43" s="7" t="str">
        <f>IFERROR(__xludf.DUMMYFUNCTION("GOOGLETRANSLATE(B43, ""EN"", ""BN"")"),"তাৎক্ষণিক ব্যবস্থা গ্রহণ করা")</f>
        <v>তাৎক্ষণিক ব্যবস্থা গ্রহণ করা</v>
      </c>
      <c r="D43" s="8" t="s">
        <v>129</v>
      </c>
    </row>
    <row r="44">
      <c r="A44" s="5" t="s">
        <v>130</v>
      </c>
      <c r="B44" s="6" t="s">
        <v>131</v>
      </c>
      <c r="C44" s="7" t="str">
        <f>IFERROR(__xludf.DUMMYFUNCTION("GOOGLETRANSLATE(B44, ""EN"", ""BN"")"),"একটি প্রবাদ")</f>
        <v>একটি প্রবাদ</v>
      </c>
      <c r="D44" s="8" t="s">
        <v>132</v>
      </c>
    </row>
    <row r="45">
      <c r="A45" s="5" t="s">
        <v>133</v>
      </c>
      <c r="B45" s="6" t="s">
        <v>134</v>
      </c>
      <c r="C45" s="7" t="str">
        <f>IFERROR(__xludf.DUMMYFUNCTION("GOOGLETRANSLATE(B45, ""EN"", ""BN"")"),"একগুঁয়ে")</f>
        <v>একগুঁয়ে</v>
      </c>
      <c r="D45" s="8" t="s">
        <v>135</v>
      </c>
    </row>
    <row r="46">
      <c r="A46" s="5" t="s">
        <v>136</v>
      </c>
      <c r="B46" s="6" t="s">
        <v>137</v>
      </c>
      <c r="C46" s="7" t="str">
        <f>IFERROR(__xludf.DUMMYFUNCTION("GOOGLETRANSLATE(B46, ""EN"", ""BN"")"),"মনোযোগ আকর্ষণ করা")</f>
        <v>মনোযোগ আকর্ষণ করা</v>
      </c>
      <c r="D46" s="8" t="s">
        <v>138</v>
      </c>
    </row>
    <row r="47">
      <c r="A47" s="5" t="s">
        <v>139</v>
      </c>
      <c r="B47" s="6" t="s">
        <v>140</v>
      </c>
      <c r="C47" s="7" t="str">
        <f>IFERROR(__xludf.DUMMYFUNCTION("GOOGLETRANSLATE(B47, ""EN"", ""BN"")"),"উদাহরণ বা প্রমাণ হিসেবে তুলে ধরা")</f>
        <v>উদাহরণ বা প্রমাণ হিসেবে তুলে ধরা</v>
      </c>
      <c r="D47" s="8" t="s">
        <v>141</v>
      </c>
    </row>
    <row r="48">
      <c r="A48" s="5" t="s">
        <v>142</v>
      </c>
      <c r="B48" s="6" t="s">
        <v>143</v>
      </c>
      <c r="C48" s="7" t="str">
        <f>IFERROR(__xludf.DUMMYFUNCTION("GOOGLETRANSLATE(B48, ""EN"", ""BN"")"),"সমর্থক")</f>
        <v>সমর্থক</v>
      </c>
      <c r="D48" s="8" t="s">
        <v>144</v>
      </c>
    </row>
    <row r="49">
      <c r="A49" s="5" t="s">
        <v>145</v>
      </c>
      <c r="B49" s="6" t="s">
        <v>146</v>
      </c>
      <c r="C49" s="7" t="str">
        <f>IFERROR(__xludf.DUMMYFUNCTION("GOOGLETRANSLATE(B49, ""EN"", ""BN"")"),"স্থগিত করতে")</f>
        <v>স্থগিত করতে</v>
      </c>
      <c r="D49" s="8" t="s">
        <v>147</v>
      </c>
    </row>
    <row r="50">
      <c r="A50" s="5" t="s">
        <v>148</v>
      </c>
      <c r="B50" s="6" t="s">
        <v>149</v>
      </c>
      <c r="C50" s="7" t="str">
        <f>IFERROR(__xludf.DUMMYFUNCTION("GOOGLETRANSLATE(B50, ""EN"", ""BN"")"),"অন্য কিছুর সাথে যুক্ত বা সংযুক্ত কোনো কিছু")</f>
        <v>অন্য কিছুর সাথে যুক্ত বা সংযুক্ত কোনো কিছু</v>
      </c>
      <c r="D50" s="8" t="s">
        <v>150</v>
      </c>
    </row>
    <row r="51">
      <c r="A51" s="5" t="s">
        <v>151</v>
      </c>
      <c r="B51" s="6" t="s">
        <v>152</v>
      </c>
      <c r="C51" s="7" t="str">
        <f>IFERROR(__xludf.DUMMYFUNCTION("GOOGLETRANSLATE(B51, ""EN"", ""BN"")"),"সতর্ক করতে")</f>
        <v>সতর্ক করতে</v>
      </c>
      <c r="D51" s="8" t="s">
        <v>153</v>
      </c>
    </row>
    <row r="52">
      <c r="A52" s="5" t="s">
        <v>154</v>
      </c>
      <c r="B52" s="6" t="s">
        <v>155</v>
      </c>
      <c r="C52" s="7" t="str">
        <f>IFERROR(__xludf.DUMMYFUNCTION("GOOGLETRANSLATE(B52, ""EN"", ""BN"")"),"দক্ষ")</f>
        <v>দক্ষ</v>
      </c>
      <c r="D52" s="8" t="s">
        <v>156</v>
      </c>
    </row>
    <row r="53">
      <c r="A53" s="5" t="s">
        <v>157</v>
      </c>
      <c r="B53" s="6" t="s">
        <v>158</v>
      </c>
      <c r="C53" s="7" t="str">
        <f>IFERROR(__xludf.DUMMYFUNCTION("GOOGLETRANSLATE(B53, ""EN"", ""BN"")"),"আগমন")</f>
        <v>আগমন</v>
      </c>
      <c r="D53" s="8" t="s">
        <v>159</v>
      </c>
    </row>
    <row r="54">
      <c r="A54" s="5" t="s">
        <v>160</v>
      </c>
      <c r="B54" s="6" t="s">
        <v>161</v>
      </c>
      <c r="C54" s="7" t="str">
        <f>IFERROR(__xludf.DUMMYFUNCTION("GOOGLETRANSLATE(B54, ""EN"", ""BN"")"),"দুর্ঘটনাজনিত")</f>
        <v>দুর্ঘটনাজনিত</v>
      </c>
      <c r="D54" s="8" t="s">
        <v>162</v>
      </c>
    </row>
    <row r="55">
      <c r="A55" s="5" t="s">
        <v>163</v>
      </c>
      <c r="B55" s="6" t="s">
        <v>164</v>
      </c>
      <c r="C55" s="7" t="str">
        <f>IFERROR(__xludf.DUMMYFUNCTION("GOOGLETRANSLATE(B55, ""EN"", ""BN"")"),"যে ব্যক্তি কোনো অবস্থানের পক্ষে যুক্তি দেয়")</f>
        <v>যে ব্যক্তি কোনো অবস্থানের পক্ষে যুক্তি দেয়</v>
      </c>
      <c r="D55" s="8" t="s">
        <v>165</v>
      </c>
    </row>
    <row r="56">
      <c r="A56" s="5" t="s">
        <v>166</v>
      </c>
      <c r="B56" s="6" t="s">
        <v>167</v>
      </c>
      <c r="C56" s="7" t="str">
        <f>IFERROR(__xludf.DUMMYFUNCTION("GOOGLETRANSLATE(B56, ""EN"", ""BN"")"),"একজন কর্মকর্তার সামনে প্রদত্ত শপথপূর্বক লিখিত বিবৃতি")</f>
        <v>একজন কর্মকর্তার সামনে প্রদত্ত শপথপূর্বক লিখিত বিবৃতি</v>
      </c>
      <c r="D56" s="8" t="s">
        <v>168</v>
      </c>
    </row>
    <row r="57">
      <c r="A57" s="5" t="s">
        <v>169</v>
      </c>
      <c r="B57" s="6" t="s">
        <v>170</v>
      </c>
      <c r="C57" s="7" t="str">
        <f>IFERROR(__xludf.DUMMYFUNCTION("GOOGLETRANSLATE(B57, ""EN"", ""BN"")"),"ঘনিষ্ঠভাবে যুক্ত হতে")</f>
        <v>ঘনিষ্ঠভাবে যুক্ত হতে</v>
      </c>
      <c r="D57" s="8" t="s">
        <v>171</v>
      </c>
    </row>
    <row r="58">
      <c r="A58" s="5" t="s">
        <v>172</v>
      </c>
      <c r="B58" s="6" t="s">
        <v>173</v>
      </c>
      <c r="C58" s="7" t="str">
        <f>IFERROR(__xludf.DUMMYFUNCTION("GOOGLETRANSLATE(B58, ""EN"", ""BN"")"),"দুর্দশা")</f>
        <v>দুর্দশা</v>
      </c>
      <c r="D58" s="8" t="s">
        <v>174</v>
      </c>
    </row>
    <row r="59">
      <c r="A59" s="5" t="s">
        <v>175</v>
      </c>
      <c r="B59" s="6" t="s">
        <v>176</v>
      </c>
      <c r="C59" s="7" t="str">
        <f>IFERROR(__xludf.DUMMYFUNCTION("GOOGLETRANSLATE(B59, ""EN"", ""BN"")"),"সরবরাহ করতে")</f>
        <v>সরবরাহ করতে</v>
      </c>
      <c r="D59" s="8" t="s">
        <v>177</v>
      </c>
    </row>
    <row r="60">
      <c r="A60" s="5" t="s">
        <v>178</v>
      </c>
      <c r="B60" s="6" t="s">
        <v>179</v>
      </c>
      <c r="C60" s="7" t="str">
        <f>IFERROR(__xludf.DUMMYFUNCTION("GOOGLETRANSLATE(B60, ""EN"", ""BN"")"),"অসম্মানের একটি ইচ্ছাকৃত কাজ")</f>
        <v>অসম্মানের একটি ইচ্ছাকৃত কাজ</v>
      </c>
      <c r="D60" s="8" t="s">
        <v>180</v>
      </c>
    </row>
    <row r="61">
      <c r="A61" s="5" t="s">
        <v>181</v>
      </c>
      <c r="B61" s="6" t="s">
        <v>182</v>
      </c>
      <c r="C61" s="7" t="str">
        <f>IFERROR(__xludf.DUMMYFUNCTION("GOOGLETRANSLATE(B61, ""EN"", ""BN"")"),"পরিণতি")</f>
        <v>পরিণতি</v>
      </c>
      <c r="D61" s="8" t="s">
        <v>183</v>
      </c>
    </row>
    <row r="62">
      <c r="A62" s="5" t="s">
        <v>184</v>
      </c>
      <c r="B62" s="6" t="s">
        <v>185</v>
      </c>
      <c r="C62" s="7" t="str">
        <f>IFERROR(__xludf.DUMMYFUNCTION("GOOGLETRANSLATE(B62, ""EN"", ""BN"")"),"অতিরঞ্জিত করা")</f>
        <v>অতিরঞ্জিত করা</v>
      </c>
      <c r="D62" s="8" t="s">
        <v>186</v>
      </c>
    </row>
    <row r="63">
      <c r="A63" s="5" t="s">
        <v>187</v>
      </c>
      <c r="B63" s="6" t="s">
        <v>188</v>
      </c>
      <c r="C63" s="7" t="str">
        <f>IFERROR(__xludf.DUMMYFUNCTION("GOOGLETRANSLATE(B63, ""EN"", ""BN"")"),"দুর্ব্যবহার করা")</f>
        <v>দুর্ব্যবহার করা</v>
      </c>
      <c r="D63" s="8" t="s">
        <v>189</v>
      </c>
    </row>
    <row r="64">
      <c r="A64" s="5" t="s">
        <v>190</v>
      </c>
      <c r="B64" s="6" t="s">
        <v>191</v>
      </c>
      <c r="C64" s="7" t="str">
        <f>IFERROR(__xludf.DUMMYFUNCTION("GOOGLETRANSLATE(B64, ""EN"", ""BN"")"),"আতঙ্কিত")</f>
        <v>আতঙ্কিত</v>
      </c>
      <c r="D64" s="8" t="s">
        <v>192</v>
      </c>
    </row>
    <row r="65">
      <c r="A65" s="5" t="s">
        <v>193</v>
      </c>
      <c r="B65" s="6" t="s">
        <v>194</v>
      </c>
      <c r="C65" s="7" t="str">
        <f>IFERROR(__xludf.DUMMYFUNCTION("GOOGLETRANSLATE(B65, ""EN"", ""BN"")"),"হাসিখুশি তৎপরতা")</f>
        <v>হাসিখুশি তৎপরতা</v>
      </c>
      <c r="D65" s="8" t="s">
        <v>195</v>
      </c>
    </row>
    <row r="66">
      <c r="A66" s="5" t="s">
        <v>196</v>
      </c>
      <c r="B66" s="6" t="s">
        <v>197</v>
      </c>
      <c r="C66" s="7" t="str">
        <f>IFERROR(__xludf.DUMMYFUNCTION("GOOGLETRANSLATE(B66, ""EN"", ""BN"")"),"রূপান্তরের একটি আপাতদৃষ্টিতে জাদুকরী প্রক্রিয়া")</f>
        <v>রূপান্তরের একটি আপাতদৃষ্টিতে জাদুকরী প্রক্রিয়া</v>
      </c>
      <c r="D66" s="8" t="s">
        <v>198</v>
      </c>
    </row>
    <row r="67">
      <c r="A67" s="5" t="s">
        <v>199</v>
      </c>
      <c r="B67" s="6" t="s">
        <v>200</v>
      </c>
      <c r="C67" s="7" t="str">
        <f>IFERROR(__xludf.DUMMYFUNCTION("GOOGLETRANSLATE(B67, ""EN"", ""BN"")"),"বিচ্ছিন্ন করা")</f>
        <v>বিচ্ছিন্ন করা</v>
      </c>
      <c r="D67" s="8" t="s">
        <v>201</v>
      </c>
    </row>
    <row r="68">
      <c r="A68" s="5" t="s">
        <v>202</v>
      </c>
      <c r="B68" s="6" t="s">
        <v>203</v>
      </c>
      <c r="C68" s="7" t="str">
        <f>IFERROR(__xludf.DUMMYFUNCTION("GOOGLETRANSLATE(B68, ""EN"", ""BN"")"),"প্রমাণ ছাড়া দাবি করা")</f>
        <v>প্রমাণ ছাড়া দাবি করা</v>
      </c>
      <c r="D68" s="8" t="s">
        <v>204</v>
      </c>
    </row>
    <row r="69">
      <c r="A69" s="5" t="s">
        <v>205</v>
      </c>
      <c r="B69" s="6" t="s">
        <v>206</v>
      </c>
      <c r="C69" s="7" t="str">
        <f>IFERROR(__xludf.DUMMYFUNCTION("GOOGLETRANSLATE(B69, ""EN"", ""BN"")"),"আনুগত্য")</f>
        <v>আনুগত্য</v>
      </c>
      <c r="D69" s="8" t="s">
        <v>207</v>
      </c>
    </row>
    <row r="70">
      <c r="A70" s="5" t="s">
        <v>208</v>
      </c>
      <c r="B70" s="6" t="s">
        <v>209</v>
      </c>
      <c r="C70" s="7" t="str">
        <f>IFERROR(__xludf.DUMMYFUNCTION("GOOGLETRANSLATE(B70, ""EN"", ""BN"")"),"এমন একটি গল্প যেখানে চরিত্রগুলো নৈতিক বা আধ্যাত্মিক অর্থবহ প্রতীক।")</f>
        <v>এমন একটি গল্প যেখানে চরিত্রগুলো নৈতিক বা আধ্যাত্মিক অর্থবহ প্রতীক।</v>
      </c>
      <c r="D70" s="8" t="s">
        <v>210</v>
      </c>
    </row>
    <row r="71">
      <c r="A71" s="5" t="s">
        <v>211</v>
      </c>
      <c r="B71" s="6" t="s">
        <v>212</v>
      </c>
      <c r="C71" s="7" t="str">
        <f>IFERROR(__xludf.DUMMYFUNCTION("GOOGLETRANSLATE(B71, ""EN"", ""BN"")"),"উপশম করতে")</f>
        <v>উপশম করতে</v>
      </c>
      <c r="D71" s="8" t="s">
        <v>213</v>
      </c>
    </row>
    <row r="72">
      <c r="A72" s="5" t="s">
        <v>214</v>
      </c>
      <c r="B72" s="6" t="s">
        <v>215</v>
      </c>
      <c r="C72" s="7" t="str">
        <f>IFERROR(__xludf.DUMMYFUNCTION("GOOGLETRANSLATE(B72, ""EN"", ""BN"")"),"বিতরণ করতে")</f>
        <v>বিতরণ করতে</v>
      </c>
      <c r="D72" s="8" t="s">
        <v>216</v>
      </c>
    </row>
    <row r="73">
      <c r="A73" s="5" t="s">
        <v>217</v>
      </c>
      <c r="B73" s="6" t="s">
        <v>218</v>
      </c>
      <c r="C73" s="7" t="str">
        <f>IFERROR(__xludf.DUMMYFUNCTION("GOOGLETRANSLATE(B73, ""EN"", ""BN"")"),"সাধারণত ধাতুসমূহের সংমিশ্রণ")</f>
        <v>সাধারণত ধাতুসমূহের সংমিশ্রণ</v>
      </c>
      <c r="D73" s="8" t="s">
        <v>219</v>
      </c>
    </row>
    <row r="74">
      <c r="A74" s="5" t="s">
        <v>220</v>
      </c>
      <c r="B74" s="6" t="s">
        <v>221</v>
      </c>
      <c r="C74" s="7" t="str">
        <f>IFERROR(__xludf.DUMMYFUNCTION("GOOGLETRANSLATE(B74, ""EN"", ""BN"")"),"একটি পরোক্ষ উল্লেখ")</f>
        <v>একটি পরোক্ষ উল্লেখ</v>
      </c>
      <c r="D74" s="8" t="s">
        <v>222</v>
      </c>
    </row>
    <row r="75">
      <c r="A75" s="5" t="s">
        <v>223</v>
      </c>
      <c r="B75" s="6" t="s">
        <v>224</v>
      </c>
      <c r="C75" s="7" t="str">
        <f>IFERROR(__xludf.DUMMYFUNCTION("GOOGLETRANSLATE(B75, ""EN"", ""BN"")"),"জড়িত নয়")</f>
        <v>জড়িত নয়</v>
      </c>
      <c r="D75" s="8" t="s">
        <v>225</v>
      </c>
    </row>
    <row r="76">
      <c r="A76" s="5" t="s">
        <v>226</v>
      </c>
      <c r="B76" s="6" t="s">
        <v>227</v>
      </c>
      <c r="C76" s="7" t="str">
        <f>IFERROR(__xludf.DUMMYFUNCTION("GOOGLETRANSLATE(B76, ""EN"", ""BN"")"),"অন্যের স্বার্থের প্রতি নিষ্ঠা")</f>
        <v>অন্যের স্বার্থের প্রতি নিষ্ঠা</v>
      </c>
      <c r="D76" s="8" t="s">
        <v>228</v>
      </c>
    </row>
    <row r="77">
      <c r="A77" s="5" t="s">
        <v>229</v>
      </c>
      <c r="B77" s="6" t="s">
        <v>230</v>
      </c>
      <c r="C77" s="7" t="str">
        <f>IFERROR(__xludf.DUMMYFUNCTION("GOOGLETRANSLATE(B77, ""EN"", ""BN"")"),"বায়ুমণ্ডল")</f>
        <v>বায়ুমণ্ডল</v>
      </c>
      <c r="D77" s="8" t="s">
        <v>231</v>
      </c>
    </row>
    <row r="78">
      <c r="A78" s="5" t="s">
        <v>232</v>
      </c>
      <c r="B78" s="6" t="s">
        <v>233</v>
      </c>
      <c r="C78" s="7" t="str">
        <f>IFERROR(__xludf.DUMMYFUNCTION("GOOGLETRANSLATE(B78, ""EN"", ""BN"")"),"অর্থ অস্পষ্ট")</f>
        <v>অর্থ অস্পষ্ট</v>
      </c>
      <c r="D78" s="8" t="s">
        <v>234</v>
      </c>
    </row>
    <row r="79">
      <c r="A79" s="5" t="s">
        <v>235</v>
      </c>
      <c r="B79" s="6" t="s">
        <v>236</v>
      </c>
      <c r="C79" s="7" t="str">
        <f>IFERROR(__xludf.DUMMYFUNCTION("GOOGLETRANSLATE(B79, ""EN"", ""BN"")"),"অনির্ধারিত")</f>
        <v>অনির্ধারিত</v>
      </c>
      <c r="D79" s="8" t="s">
        <v>237</v>
      </c>
    </row>
    <row r="80">
      <c r="A80" s="5" t="s">
        <v>238</v>
      </c>
      <c r="B80" s="6" t="s">
        <v>239</v>
      </c>
      <c r="C80" s="7" t="str">
        <f>IFERROR(__xludf.DUMMYFUNCTION("GOOGLETRANSLATE(B80, ""EN"", ""BN"")"),"আরও ভালো করার জন্য")</f>
        <v>আরও ভালো করার জন্য</v>
      </c>
      <c r="D80" s="8" t="s">
        <v>240</v>
      </c>
    </row>
    <row r="81">
      <c r="A81" s="5" t="s">
        <v>241</v>
      </c>
      <c r="B81" s="6" t="s">
        <v>242</v>
      </c>
      <c r="C81" s="7" t="str">
        <f>IFERROR(__xludf.DUMMYFUNCTION("GOOGLETRANSLATE(B81, ""EN"", ""BN"")"),"বাধ্য")</f>
        <v>বাধ্য</v>
      </c>
      <c r="D81" s="8" t="s">
        <v>243</v>
      </c>
    </row>
    <row r="82">
      <c r="A82" s="5" t="s">
        <v>244</v>
      </c>
      <c r="B82" s="6" t="s">
        <v>245</v>
      </c>
      <c r="C82" s="7" t="str">
        <f>IFERROR(__xludf.DUMMYFUNCTION("GOOGLETRANSLATE(B82, ""EN"", ""BN"")"),"আকর্ষণীয় বা আরামদায়ক বৈশিষ্ট্য")</f>
        <v>আকর্ষণীয় বা আরামদায়ক বৈশিষ্ট্য</v>
      </c>
      <c r="D82" s="8" t="s">
        <v>246</v>
      </c>
    </row>
    <row r="83">
      <c r="A83" s="5" t="s">
        <v>247</v>
      </c>
      <c r="B83" s="6" t="s">
        <v>248</v>
      </c>
      <c r="C83" s="7" t="str">
        <f>IFERROR(__xludf.DUMMYFUNCTION("GOOGLETRANSLATE(B83, ""EN"", ""BN"")"),"বন্ধুত্বপূর্ণ")</f>
        <v>বন্ধুত্বপূর্ণ</v>
      </c>
      <c r="D83" s="8" t="s">
        <v>249</v>
      </c>
    </row>
    <row r="84">
      <c r="A84" s="5" t="s">
        <v>250</v>
      </c>
      <c r="B84" s="6" t="s">
        <v>251</v>
      </c>
      <c r="C84" s="7" t="str">
        <f>IFERROR(__xludf.DUMMYFUNCTION("GOOGLETRANSLATE(B84, ""EN"", ""BN"")"),"একদল লোকের জন্য আনুষ্ঠানিক ক্ষমা, যারা কোনো আইন বা নীতি লঙ্ঘন করেছে")</f>
        <v>একদল লোকের জন্য আনুষ্ঠানিক ক্ষমা, যারা কোনো আইন বা নীতি লঙ্ঘন করেছে</v>
      </c>
      <c r="D84" s="8" t="s">
        <v>252</v>
      </c>
    </row>
    <row r="85">
      <c r="A85" s="5" t="s">
        <v>253</v>
      </c>
      <c r="B85" s="6" t="s">
        <v>254</v>
      </c>
      <c r="C85" s="7" t="str">
        <f>IFERROR(__xludf.DUMMYFUNCTION("GOOGLETRANSLATE(B85, ""EN"", ""BN"")"),"ন্যায়-অন্যায়ের বোধের অভাব")</f>
        <v>ন্যায়-অন্যায়ের বোধের অভাব</v>
      </c>
      <c r="D85" s="8" t="s">
        <v>255</v>
      </c>
    </row>
    <row r="86">
      <c r="A86" s="5" t="s">
        <v>256</v>
      </c>
      <c r="B86" s="6" t="s">
        <v>257</v>
      </c>
      <c r="C86" s="7" t="str">
        <f>IFERROR(__xludf.DUMMYFUNCTION("GOOGLETRANSLATE(B86, ""EN"", ""BN"")"),"যৌনভাবে প্রেমে")</f>
        <v>যৌনভাবে প্রেমে</v>
      </c>
      <c r="D86" s="8" t="s">
        <v>258</v>
      </c>
    </row>
    <row r="87">
      <c r="A87" s="5" t="s">
        <v>259</v>
      </c>
      <c r="B87" s="6" t="s">
        <v>260</v>
      </c>
      <c r="C87" s="7" t="str">
        <f>IFERROR(__xludf.DUMMYFUNCTION("GOOGLETRANSLATE(B87, ""EN"", ""BN"")"),"আকৃতিহীন")</f>
        <v>আকৃতিহীন</v>
      </c>
      <c r="D87" s="8" t="s">
        <v>261</v>
      </c>
    </row>
    <row r="88">
      <c r="A88" s="5" t="s">
        <v>262</v>
      </c>
      <c r="B88" s="6" t="s">
        <v>263</v>
      </c>
      <c r="C88" s="7" t="str">
        <f>IFERROR(__xludf.DUMMYFUNCTION("GOOGLETRANSLATE(B88, ""EN"", ""BN"")"),"সময় বা ইতিহাসে বেমানান কিছু")</f>
        <v>সময় বা ইতিহাসে বেমানান কিছু</v>
      </c>
      <c r="D88" s="8" t="s">
        <v>264</v>
      </c>
    </row>
    <row r="89">
      <c r="A89" s="5" t="s">
        <v>265</v>
      </c>
      <c r="B89" s="6" t="s">
        <v>266</v>
      </c>
      <c r="C89" s="7" t="str">
        <f>IFERROR(__xludf.DUMMYFUNCTION("GOOGLETRANSLATE(B89, ""EN"", ""BN"")"),"একটি তুলনা")</f>
        <v>একটি তুলনা</v>
      </c>
      <c r="D89" s="8" t="s">
        <v>267</v>
      </c>
    </row>
    <row r="90">
      <c r="A90" s="5" t="s">
        <v>268</v>
      </c>
      <c r="B90" s="6" t="s">
        <v>269</v>
      </c>
      <c r="C90" s="7" t="str">
        <f>IFERROR(__xludf.DUMMYFUNCTION("GOOGLETRANSLATE(B90, ""EN"", ""BN"")"),"ব্যাধি")</f>
        <v>ব্যাধি</v>
      </c>
      <c r="D90" s="8" t="s">
        <v>270</v>
      </c>
    </row>
    <row r="91">
      <c r="A91" s="5" t="s">
        <v>271</v>
      </c>
      <c r="B91" s="6" t="s">
        <v>272</v>
      </c>
      <c r="C91" s="7" t="str">
        <f>IFERROR(__xludf.DUMMYFUNCTION("GOOGLETRANSLATE(B91, ""EN"", ""BN"")"),"কোনো হাস্যকর বা তাৎপর্যপূর্ণ ঘটনার সংক্ষিপ্ত বিবরণ")</f>
        <v>কোনো হাস্যকর বা তাৎপর্যপূর্ণ ঘটনার সংক্ষিপ্ত বিবরণ</v>
      </c>
      <c r="D91" s="8" t="s">
        <v>273</v>
      </c>
    </row>
    <row r="92">
      <c r="A92" s="5" t="s">
        <v>274</v>
      </c>
      <c r="B92" s="6" t="s">
        <v>275</v>
      </c>
      <c r="C92" s="7" t="str">
        <f>IFERROR(__xludf.DUMMYFUNCTION("GOOGLETRANSLATE(B92, ""EN"", ""BN"")"),"যন্ত্রণাদায়ক শারীরিক বা মানসিক ব্যথা")</f>
        <v>যন্ত্রণাদায়ক শারীরিক বা মানসিক ব্যথা</v>
      </c>
      <c r="D92" s="8" t="s">
        <v>276</v>
      </c>
    </row>
    <row r="93">
      <c r="A93" s="5" t="s">
        <v>277</v>
      </c>
      <c r="B93" s="6" t="s">
        <v>278</v>
      </c>
      <c r="C93" s="7" t="str">
        <f>IFERROR(__xludf.DUMMYFUNCTION("GOOGLETRANSLATE(B93, ""EN"", ""BN"")"),"বিদ্বেষ")</f>
        <v>বিদ্বেষ</v>
      </c>
      <c r="D93" s="8" t="s">
        <v>279</v>
      </c>
    </row>
    <row r="94">
      <c r="A94" s="5" t="s">
        <v>280</v>
      </c>
      <c r="B94" s="6" t="s">
        <v>281</v>
      </c>
      <c r="C94" s="7" t="str">
        <f>IFERROR(__xludf.DUMMYFUNCTION("GOOGLETRANSLATE(B94, ""EN"", ""BN"")"),"অনিয়ম")</f>
        <v>অনিয়ম</v>
      </c>
      <c r="D94" s="8" t="s">
        <v>282</v>
      </c>
    </row>
    <row r="95">
      <c r="A95" s="5" t="s">
        <v>283</v>
      </c>
      <c r="B95" s="6" t="s">
        <v>284</v>
      </c>
      <c r="C95" s="7" t="str">
        <f>IFERROR(__xludf.DUMMYFUNCTION("GOOGLETRANSLATE(B95, ""EN"", ""BN"")"),"এমন কিছু যা একটি মডেল প্রদান করে")</f>
        <v>এমন কিছু যা একটি মডেল প্রদান করে</v>
      </c>
      <c r="D95" s="8" t="s">
        <v>285</v>
      </c>
    </row>
    <row r="96">
      <c r="A96" s="9"/>
      <c r="B96" s="6" t="s">
        <v>286</v>
      </c>
      <c r="C96" s="7" t="str">
        <f>IFERROR(__xludf.DUMMYFUNCTION("GOOGLETRANSLATE(B96, ""EN"", ""BN"")"),"এর পরে যা এসেছিল")</f>
        <v>এর পরে যা এসেছিল</v>
      </c>
      <c r="D96" s="10"/>
    </row>
    <row r="97">
      <c r="A97" s="5" t="s">
        <v>287</v>
      </c>
      <c r="B97" s="6" t="s">
        <v>288</v>
      </c>
      <c r="C97" s="7" t="str">
        <f>IFERROR(__xludf.DUMMYFUNCTION("GOOGLETRANSLATE(B97, ""EN"", ""BN"")"),"অপছন্দ")</f>
        <v>অপছন্দ</v>
      </c>
      <c r="D97" s="8" t="s">
        <v>289</v>
      </c>
    </row>
    <row r="98">
      <c r="A98" s="5" t="s">
        <v>290</v>
      </c>
      <c r="B98" s="6" t="s">
        <v>291</v>
      </c>
      <c r="C98" s="7" t="str">
        <f>IFERROR(__xludf.DUMMYFUNCTION("GOOGLETRANSLATE(B98, ""EN"", ""BN"")"),"সরাসরি বিপরীত")</f>
        <v>সরাসরি বিপরীত</v>
      </c>
      <c r="D98" s="8" t="s">
        <v>292</v>
      </c>
    </row>
    <row r="99">
      <c r="A99" s="5" t="s">
        <v>293</v>
      </c>
      <c r="B99" s="6" t="s">
        <v>294</v>
      </c>
      <c r="C99" s="7" t="str">
        <f>IFERROR(__xludf.DUMMYFUNCTION("GOOGLETRANSLATE(B99, ""EN"", ""BN"")"),"দক্ষিণ আফ্রিকায় বর্ণবৈষম্য ও নিপীড়নের জঘন্য নীতি")</f>
        <v>দক্ষিণ আফ্রিকায় বর্ণবৈষম্য ও নিপীড়নের জঘন্য নীতি</v>
      </c>
      <c r="D99" s="8" t="s">
        <v>295</v>
      </c>
    </row>
    <row r="100">
      <c r="A100" s="5" t="s">
        <v>296</v>
      </c>
      <c r="B100" s="6" t="s">
        <v>297</v>
      </c>
      <c r="C100" s="7" t="str">
        <f>IFERROR(__xludf.DUMMYFUNCTION("GOOGLETRANSLATE(B100, ""EN"", ""BN"")"),"আগ্রহের অভাব")</f>
        <v>আগ্রহের অভাব</v>
      </c>
      <c r="D100" s="8" t="s">
        <v>298</v>
      </c>
    </row>
    <row r="101">
      <c r="A101" s="5" t="s">
        <v>299</v>
      </c>
      <c r="B101" s="6" t="s">
        <v>300</v>
      </c>
      <c r="C101" s="7" t="str">
        <f>IFERROR(__xludf.DUMMYFUNCTION("GOOGLETRANSLATE(B101, ""EN"", ""BN"")"),"প্রবাদ")</f>
        <v>প্রবাদ</v>
      </c>
      <c r="D101" s="8" t="s">
        <v>301</v>
      </c>
    </row>
    <row r="102">
      <c r="A102" s="5" t="s">
        <v>302</v>
      </c>
      <c r="B102" s="6" t="s">
        <v>303</v>
      </c>
      <c r="C102" s="7" t="str">
        <f>IFERROR(__xludf.DUMMYFUNCTION("GOOGLETRANSLATE(B102, ""EN"", ""BN"")"),"প্রকাশ")</f>
        <v>প্রকাশ</v>
      </c>
      <c r="D102" s="8" t="s">
        <v>304</v>
      </c>
    </row>
    <row r="103">
      <c r="A103" s="5" t="s">
        <v>305</v>
      </c>
      <c r="B103" s="6" t="s">
        <v>306</v>
      </c>
      <c r="C103" s="7" t="str">
        <f>IFERROR(__xludf.DUMMYFUNCTION("GOOGLETRANSLATE(B103, ""EN"", ""BN"")"),"সন্দেহজনক সত্যতা")</f>
        <v>সন্দেহজনক সত্যতা</v>
      </c>
      <c r="D103" s="8" t="s">
        <v>307</v>
      </c>
    </row>
    <row r="104">
      <c r="A104" s="5" t="s">
        <v>308</v>
      </c>
      <c r="B104" s="6" t="s">
        <v>309</v>
      </c>
      <c r="C104" s="7" t="str">
        <f>IFERROR(__xludf.DUMMYFUNCTION("GOOGLETRANSLATE(B104, ""EN"", ""BN"")"),"কোনো কিছুর নিখুঁত উদাহরণ")</f>
        <v>কোনো কিছুর নিখুঁত উদাহরণ</v>
      </c>
      <c r="D104" s="8" t="s">
        <v>310</v>
      </c>
    </row>
    <row r="105">
      <c r="A105" s="5" t="s">
        <v>311</v>
      </c>
      <c r="B105" s="6" t="s">
        <v>312</v>
      </c>
      <c r="C105" s="7" t="str">
        <f>IFERROR(__xludf.DUMMYFUNCTION("GOOGLETRANSLATE(B105, ""EN"", ""BN"")"),"নতি স্বীকার করে শান্ত করা")</f>
        <v>নতি স্বীকার করে শান্ত করা</v>
      </c>
      <c r="D105" s="8" t="s">
        <v>313</v>
      </c>
    </row>
    <row r="106">
      <c r="A106" s="5" t="s">
        <v>314</v>
      </c>
      <c r="B106" s="6" t="s">
        <v>315</v>
      </c>
      <c r="C106" s="7" t="str">
        <f>IFERROR(__xludf.DUMMYFUNCTION("GOOGLETRANSLATE(B106, ""EN"", ""BN"")"),"মূল্য বৃদ্ধি করা")</f>
        <v>মূল্য বৃদ্ধি করা</v>
      </c>
      <c r="D106" s="8" t="s">
        <v>316</v>
      </c>
    </row>
    <row r="107">
      <c r="A107" s="5" t="s">
        <v>317</v>
      </c>
      <c r="B107" s="6" t="s">
        <v>318</v>
      </c>
      <c r="C107" s="7" t="str">
        <f>IFERROR(__xludf.DUMMYFUNCTION("GOOGLETRANSLATE(B107, ""EN"", ""BN"")"),"উদ্বিগ্ন")</f>
        <v>উদ্বিগ্ন</v>
      </c>
      <c r="D107" s="8" t="s">
        <v>319</v>
      </c>
    </row>
    <row r="108">
      <c r="A108" s="5" t="s">
        <v>320</v>
      </c>
      <c r="B108" s="6" t="s">
        <v>321</v>
      </c>
      <c r="C108" s="7" t="str">
        <f>IFERROR(__xludf.DUMMYFUNCTION("GOOGLETRANSLATE(B108, ""EN"", ""BN"")"),"অনুমোদন; প্রশংসা")</f>
        <v>অনুমোদন; প্রশংসা</v>
      </c>
      <c r="D108" s="8" t="s">
        <v>322</v>
      </c>
    </row>
    <row r="109">
      <c r="A109" s="5" t="s">
        <v>323</v>
      </c>
      <c r="B109" s="6" t="s">
        <v>324</v>
      </c>
      <c r="C109" s="7" t="str">
        <f>IFERROR(__xludf.DUMMYFUNCTION("GOOGLETRANSLATE(B109, ""EN"", ""BN"")"),"অনুমতি ছাড়া গ্রহণ করা; বিশেষ ব্যবহারের জন্য আলাদা করে রাখা")</f>
        <v>অনুমতি ছাড়া গ্রহণ করা; বিশেষ ব্যবহারের জন্য আলাদা করে রাখা</v>
      </c>
      <c r="D109" s="8" t="s">
        <v>325</v>
      </c>
    </row>
    <row r="110">
      <c r="A110" s="5" t="s">
        <v>326</v>
      </c>
      <c r="B110" s="6" t="s">
        <v>327</v>
      </c>
      <c r="C110" s="7" t="str">
        <f>IFERROR(__xludf.DUMMYFUNCTION("GOOGLETRANSLATE(B110, ""EN"", ""BN"")"),"শেখার ক্ষমতা")</f>
        <v>শেখার ক্ষমতা</v>
      </c>
      <c r="D110" s="8" t="s">
        <v>328</v>
      </c>
    </row>
    <row r="111">
      <c r="A111" s="5" t="s">
        <v>329</v>
      </c>
      <c r="B111" s="6" t="s">
        <v>330</v>
      </c>
      <c r="C111" s="7" t="str">
        <f>IFERROR(__xludf.DUMMYFUNCTION("GOOGLETRANSLATE(B111, ""EN"", ""BN"")"),"একজন বিচারক")</f>
        <v>একজন বিচারক</v>
      </c>
      <c r="D111" s="8" t="s">
        <v>331</v>
      </c>
    </row>
    <row r="112">
      <c r="A112" s="5" t="s">
        <v>332</v>
      </c>
      <c r="B112" s="6" t="s">
        <v>333</v>
      </c>
      <c r="C112" s="7" t="str">
        <f>IFERROR(__xludf.DUMMYFUNCTION("GOOGLETRANSLATE(B112, ""EN"", ""BN"")"),"এলোমেলো")</f>
        <v>এলোমেলো</v>
      </c>
      <c r="D112" s="8" t="s">
        <v>334</v>
      </c>
    </row>
    <row r="113">
      <c r="A113" s="5" t="s">
        <v>335</v>
      </c>
      <c r="B113" s="6" t="s">
        <v>336</v>
      </c>
      <c r="C113" s="7" t="str">
        <f>IFERROR(__xludf.DUMMYFUNCTION("GOOGLETRANSLATE(B113, ""EN"", ""BN"")"),"শুধুমাত্র কিছু নির্বাচিত লোকের কাছেই পরিচিত")</f>
        <v>শুধুমাত্র কিছু নির্বাচিত লোকের কাছেই পরিচিত</v>
      </c>
      <c r="D113" s="8" t="s">
        <v>337</v>
      </c>
    </row>
    <row r="114">
      <c r="A114" s="5" t="s">
        <v>338</v>
      </c>
      <c r="B114" s="6" t="s">
        <v>339</v>
      </c>
      <c r="C114" s="7" t="str">
        <f>IFERROR(__xludf.DUMMYFUNCTION("GOOGLETRANSLATE(B114, ""EN"", ""BN"")"),"প্রাচীন")</f>
        <v>প্রাচীন</v>
      </c>
      <c r="D114" s="8" t="s">
        <v>340</v>
      </c>
    </row>
    <row r="115">
      <c r="A115" s="5" t="s">
        <v>341</v>
      </c>
      <c r="B115" s="6" t="s">
        <v>342</v>
      </c>
      <c r="C115" s="7" t="str">
        <f>IFERROR(__xludf.DUMMYFUNCTION("GOOGLETRANSLATE(B115, ""EN"", ""BN"")"),"একটি আসল মডেল বা প্যাটার্ন")</f>
        <v>একটি আসল মডেল বা প্যাটার্ন</v>
      </c>
      <c r="D115" s="8" t="s">
        <v>343</v>
      </c>
    </row>
    <row r="116">
      <c r="A116" s="5" t="s">
        <v>344</v>
      </c>
      <c r="B116" s="6" t="s">
        <v>345</v>
      </c>
      <c r="C116" s="7" t="str">
        <f>IFERROR(__xludf.DUMMYFUNCTION("GOOGLETRANSLATE(B116, ""EN"", ""BN"")"),"আবেগপ্রবণ")</f>
        <v>আবেগপ্রবণ</v>
      </c>
      <c r="D116" s="8" t="s">
        <v>346</v>
      </c>
    </row>
    <row r="117">
      <c r="A117" s="5" t="s">
        <v>347</v>
      </c>
      <c r="B117" s="6" t="s">
        <v>348</v>
      </c>
      <c r="C117" s="7" t="str">
        <f>IFERROR(__xludf.DUMMYFUNCTION("GOOGLETRANSLATE(B117, ""EN"", ""BN"")"),"কঠিন")</f>
        <v>কঠিন</v>
      </c>
      <c r="D117" s="8" t="s">
        <v>349</v>
      </c>
    </row>
    <row r="118">
      <c r="A118" s="5" t="s">
        <v>350</v>
      </c>
      <c r="B118" s="6" t="s">
        <v>351</v>
      </c>
      <c r="C118" s="7" t="str">
        <f>IFERROR(__xludf.DUMMYFUNCTION("GOOGLETRANSLATE(B118, ""EN"", ""BN"")"),"অভিজাত বংশ; অহংকারী")</f>
        <v>অভিজাত বংশ; অহংকারী</v>
      </c>
      <c r="D118" s="8" t="s">
        <v>352</v>
      </c>
    </row>
    <row r="119">
      <c r="A119" s="5" t="s">
        <v>353</v>
      </c>
      <c r="B119" s="6" t="s">
        <v>354</v>
      </c>
      <c r="C119" s="7" t="str">
        <f>IFERROR(__xludf.DUMMYFUNCTION("GOOGLETRANSLATE(B119, ""EN"", ""BN"")"),"অসৎ; ধূর্ত")</f>
        <v>অসৎ; ধূর্ত</v>
      </c>
      <c r="D119" s="8" t="s">
        <v>355</v>
      </c>
    </row>
    <row r="120">
      <c r="A120" s="5" t="s">
        <v>356</v>
      </c>
      <c r="B120" s="6" t="s">
        <v>357</v>
      </c>
      <c r="C120" s="7" t="str">
        <f>IFERROR(__xludf.DUMMYFUNCTION("GOOGLETRANSLATE(B120, ""EN"", ""BN"")"),"একটি চালাকি")</f>
        <v>একটি চালাকি</v>
      </c>
      <c r="D120" s="8" t="s">
        <v>358</v>
      </c>
    </row>
    <row r="121">
      <c r="A121" s="5" t="s">
        <v>359</v>
      </c>
      <c r="B121" s="6" t="s">
        <v>360</v>
      </c>
      <c r="C121" s="7" t="str">
        <f>IFERROR(__xludf.DUMMYFUNCTION("GOOGLETRANSLATE(B121, ""EN"", ""BN"")"),"আধিপত্য")</f>
        <v>আধিপত্য</v>
      </c>
      <c r="D121" s="8" t="s">
        <v>361</v>
      </c>
    </row>
    <row r="122">
      <c r="A122" s="5" t="s">
        <v>362</v>
      </c>
      <c r="B122" s="6" t="s">
        <v>363</v>
      </c>
      <c r="C122" s="7" t="str">
        <f>IFERROR(__xludf.DUMMYFUNCTION("GOOGLETRANSLATE(B122, ""EN"", ""BN"")"),"আত্মসংযম অনুশীলন")</f>
        <v>আত্মসংযম অনুশীলন</v>
      </c>
      <c r="D122" s="8" t="s">
        <v>364</v>
      </c>
    </row>
    <row r="123">
      <c r="A123" s="5" t="s">
        <v>365</v>
      </c>
      <c r="B123" s="6" t="s">
        <v>366</v>
      </c>
      <c r="C123" s="7" t="str">
        <f>IFERROR(__xludf.DUMMYFUNCTION("GOOGLETRANSLATE(B123, ""EN"", ""BN"")"),"পরিশ্রমী")</f>
        <v>পরিশ্রমী</v>
      </c>
      <c r="D123" s="8" t="s">
        <v>367</v>
      </c>
    </row>
    <row r="124">
      <c r="A124" s="5" t="s">
        <v>368</v>
      </c>
      <c r="B124" s="6" t="s">
        <v>369</v>
      </c>
      <c r="C124" s="7" t="str">
        <f>IFERROR(__xludf.DUMMYFUNCTION("GOOGLETRANSLATE(B124, ""EN"", ""BN"")"),"শোষণ করতে")</f>
        <v>শোষণ করতে</v>
      </c>
      <c r="D124" s="8" t="s">
        <v>370</v>
      </c>
    </row>
    <row r="125">
      <c r="A125" s="5" t="s">
        <v>371</v>
      </c>
      <c r="B125" s="6" t="s">
        <v>372</v>
      </c>
      <c r="C125" s="7" t="str">
        <f>IFERROR(__xludf.DUMMYFUNCTION("GOOGLETRANSLATE(B125, ""EN"", ""BN"")"),"প্রশমিত করতে")</f>
        <v>প্রশমিত করতে</v>
      </c>
      <c r="D125" s="8" t="s">
        <v>373</v>
      </c>
    </row>
    <row r="126">
      <c r="A126" s="5" t="s">
        <v>374</v>
      </c>
      <c r="B126" s="6" t="s">
        <v>375</v>
      </c>
      <c r="C126" s="7" t="str">
        <f>IFERROR(__xludf.DUMMYFUNCTION("GOOGLETRANSLATE(B126, ""EN"", ""BN"")"),"বিচারে তীক্ষ্ণ")</f>
        <v>বিচারে তীক্ষ্ণ</v>
      </c>
      <c r="D126" s="8" t="s">
        <v>376</v>
      </c>
    </row>
    <row r="127">
      <c r="A127" s="5" t="s">
        <v>377</v>
      </c>
      <c r="B127" s="6" t="s">
        <v>378</v>
      </c>
      <c r="C127" s="7" t="str">
        <f>IFERROR(__xludf.DUMMYFUNCTION("GOOGLETRANSLATE(B127, ""EN"", ""BN"")"),"ধীরে ধীরে ক্ষয়, দুর্বল হয়ে পড়া বা হ্রাস পাওয়া")</f>
        <v>ধীরে ধীরে ক্ষয়, দুর্বল হয়ে পড়া বা হ্রাস পাওয়া</v>
      </c>
      <c r="D127" s="8" t="s">
        <v>379</v>
      </c>
    </row>
    <row r="128">
      <c r="A128" s="5" t="s">
        <v>380</v>
      </c>
      <c r="B128" s="6" t="s">
        <v>381</v>
      </c>
      <c r="C128" s="7" t="str">
        <f>IFERROR(__xludf.DUMMYFUNCTION("GOOGLETRANSLATE(B128, ""EN"", ""BN"")"),"সাহসিকতা")</f>
        <v>সাহসিকতা</v>
      </c>
      <c r="D128" s="8" t="s">
        <v>382</v>
      </c>
    </row>
    <row r="129">
      <c r="A129" s="5" t="s">
        <v>383</v>
      </c>
      <c r="B129" s="6" t="s">
        <v>384</v>
      </c>
      <c r="C129" s="7" t="str">
        <f>IFERROR(__xludf.DUMMYFUNCTION("GOOGLETRANSLATE(B129, ""EN"", ""BN"")"),"বৃদ্ধি করতে")</f>
        <v>বৃদ্ধি করতে</v>
      </c>
      <c r="D129" s="8" t="s">
        <v>385</v>
      </c>
    </row>
    <row r="130">
      <c r="A130" s="5" t="s">
        <v>386</v>
      </c>
      <c r="B130" s="6" t="s">
        <v>387</v>
      </c>
      <c r="C130" s="7" t="str">
        <f>IFERROR(__xludf.DUMMYFUNCTION("GOOGLETRANSLATE(B130, ""EN"", ""BN"")"),"অনুকূল")</f>
        <v>অনুকূল</v>
      </c>
      <c r="D130" s="8" t="s">
        <v>388</v>
      </c>
    </row>
    <row r="131">
      <c r="A131" s="5" t="s">
        <v>389</v>
      </c>
      <c r="B131" s="6" t="s">
        <v>390</v>
      </c>
      <c r="C131" s="7" t="str">
        <f>IFERROR(__xludf.DUMMYFUNCTION("GOOGLETRANSLATE(B131, ""EN"", ""BN"")"),"অলঙ্করণহীন")</f>
        <v>অলঙ্করণহীন</v>
      </c>
      <c r="D131" s="8" t="s">
        <v>391</v>
      </c>
    </row>
    <row r="132">
      <c r="A132" s="5" t="s">
        <v>392</v>
      </c>
      <c r="B132" s="6" t="s">
        <v>393</v>
      </c>
      <c r="C132" s="7" t="str">
        <f>IFERROR(__xludf.DUMMYFUNCTION("GOOGLETRANSLATE(B132, ""EN"", ""BN"")"),"অত্যন্ত কর্তৃত্বপরায়ণ")</f>
        <v>অত্যন্ত কর্তৃত্বপরায়ণ</v>
      </c>
      <c r="D132" s="8" t="s">
        <v>394</v>
      </c>
    </row>
    <row r="133">
      <c r="A133" s="5" t="s">
        <v>395</v>
      </c>
      <c r="B133" s="6" t="s">
        <v>396</v>
      </c>
      <c r="C133" s="7" t="str">
        <f>IFERROR(__xludf.DUMMYFUNCTION("GOOGLETRANSLATE(B133, ""EN"", ""BN"")"),"স্বাধীনভাবে কাজ করা")</f>
        <v>স্বাধীনভাবে কাজ করা</v>
      </c>
      <c r="D133" s="8" t="s">
        <v>397</v>
      </c>
    </row>
    <row r="134">
      <c r="A134" s="5" t="s">
        <v>398</v>
      </c>
      <c r="B134" s="6" t="s">
        <v>399</v>
      </c>
      <c r="C134" s="7" t="str">
        <f>IFERROR(__xludf.DUMMYFUNCTION("GOOGLETRANSLATE(B134, ""EN"", ""BN"")"),"ধন-সম্পদের প্রতি অতিরিক্ত ভালোবাসা")</f>
        <v>ধন-সম্পদের প্রতি অতিরিক্ত ভালোবাসা</v>
      </c>
      <c r="D134" s="8" t="s">
        <v>400</v>
      </c>
    </row>
    <row r="135">
      <c r="A135" s="5" t="s">
        <v>401</v>
      </c>
      <c r="B135" s="6" t="s">
        <v>402</v>
      </c>
      <c r="C135" s="7" t="str">
        <f>IFERROR(__xludf.DUMMYFUNCTION("GOOGLETRANSLATE(B135, ""EN"", ""BN"")"),"সাহসের সাথে ঘোষণা করতে")</f>
        <v>সাহসের সাথে ঘোষণা করতে</v>
      </c>
      <c r="D135" s="8" t="s">
        <v>403</v>
      </c>
    </row>
    <row r="136">
      <c r="A136" s="5" t="s">
        <v>404</v>
      </c>
      <c r="B136" s="6" t="s">
        <v>405</v>
      </c>
      <c r="C136" s="7" t="str">
        <f>IFERROR(__xludf.DUMMYFUNCTION("GOOGLETRANSLATE(B136, ""EN"", ""BN"")"),"একজন ভালো চাচার মতো")</f>
        <v>একজন ভালো চাচার মতো</v>
      </c>
      <c r="D136" s="8" t="s">
        <v>406</v>
      </c>
    </row>
    <row r="137">
      <c r="A137" s="5" t="s">
        <v>407</v>
      </c>
      <c r="B137" s="6" t="s">
        <v>408</v>
      </c>
      <c r="C137" s="7" t="str">
        <f>IFERROR(__xludf.DUMMYFUNCTION("GOOGLETRANSLATE(B137, ""EN"", ""BN"")"),"পথভ্রষ্ট; একপাশে মোচড়ানো")</f>
        <v>পথভ্রষ্ট; একপাশে মোচড়ানো</v>
      </c>
      <c r="D137" s="8" t="s">
        <v>409</v>
      </c>
    </row>
    <row r="138">
      <c r="A138" s="5" t="s">
        <v>410</v>
      </c>
      <c r="B138" s="6" t="s">
        <v>411</v>
      </c>
      <c r="C138" s="7" t="str">
        <f>IFERROR(__xludf.DUMMYFUNCTION("GOOGLETRANSLATE(B138, ""EN"", ""BN"")"),"একটি বহুল প্রচলিত উক্তি")</f>
        <v>একটি বহুল প্রচলিত উক্তি</v>
      </c>
      <c r="D138" s="8" t="s">
        <v>412</v>
      </c>
    </row>
    <row r="139">
      <c r="A139" s="5" t="s">
        <v>413</v>
      </c>
      <c r="B139" s="6" t="s">
        <v>414</v>
      </c>
      <c r="C139" s="7" t="str">
        <f>IFERROR(__xludf.DUMMYFUNCTION("GOOGLETRANSLATE(B139, ""EN"", ""BN"")"),"অমৌলিক")</f>
        <v>অমৌলিক</v>
      </c>
      <c r="D139" s="8" t="s">
        <v>415</v>
      </c>
    </row>
    <row r="140">
      <c r="A140" s="5" t="s">
        <v>416</v>
      </c>
      <c r="B140" s="6" t="s">
        <v>417</v>
      </c>
      <c r="C140" s="7" t="str">
        <f>IFERROR(__xludf.DUMMYFUNCTION("GOOGLETRANSLATE(B140, ""EN"", ""BN"")"),"ক্ষতির কারণ; বিষ")</f>
        <v>ক্ষতির কারণ; বিষ</v>
      </c>
      <c r="D140" s="8" t="s">
        <v>418</v>
      </c>
    </row>
    <row r="141">
      <c r="A141" s="5" t="s">
        <v>419</v>
      </c>
      <c r="B141" s="6" t="s">
        <v>420</v>
      </c>
      <c r="C141" s="7" t="str">
        <f>IFERROR(__xludf.DUMMYFUNCTION("GOOGLETRANSLATE(B141, ""EN"", ""BN"")"),"সুরক্ষিত স্থান")</f>
        <v>সুরক্ষিত স্থান</v>
      </c>
      <c r="D141" s="8" t="s">
        <v>421</v>
      </c>
    </row>
    <row r="142">
      <c r="A142" s="5" t="s">
        <v>422</v>
      </c>
      <c r="B142" s="6" t="s">
        <v>423</v>
      </c>
      <c r="C142" s="7" t="str">
        <f>IFERROR(__xludf.DUMMYFUNCTION("GOOGLETRANSLATE(B142, ""EN"", ""BN"")"),"নেতৃত্ব দিতে")</f>
        <v>নেতৃত্ব দিতে</v>
      </c>
      <c r="D142" s="8" t="s">
        <v>424</v>
      </c>
    </row>
    <row r="143">
      <c r="A143" s="5" t="s">
        <v>425</v>
      </c>
      <c r="B143" s="6" t="s">
        <v>426</v>
      </c>
      <c r="C143" s="7" t="str">
        <f>IFERROR(__xludf.DUMMYFUNCTION("GOOGLETRANSLATE(B143, ""EN"", ""BN"")"),"বারবার বা অযৌক্তিক মাত্রায় পুনরাবৃত্তি করা")</f>
        <v>বারবার বা অযৌক্তিক মাত্রায় পুনরাবৃত্তি করা</v>
      </c>
      <c r="D143" s="8" t="s">
        <v>427</v>
      </c>
    </row>
    <row r="144">
      <c r="A144" s="5" t="s">
        <v>428</v>
      </c>
      <c r="B144" s="6" t="s">
        <v>429</v>
      </c>
      <c r="C144" s="7" t="str">
        <f>IFERROR(__xludf.DUMMYFUNCTION("GOOGLETRANSLATE(B144, ""EN"", ""BN"")"),"হয়রানি করা; ভিড় করা")</f>
        <v>হয়রানি করা; ভিড় করা</v>
      </c>
      <c r="D144" s="8" t="s">
        <v>430</v>
      </c>
    </row>
    <row r="145">
      <c r="A145" s="5" t="s">
        <v>431</v>
      </c>
      <c r="B145" s="6" t="s">
        <v>432</v>
      </c>
      <c r="C145" s="7" t="str">
        <f>IFERROR(__xludf.DUMMYFUNCTION("GOOGLETRANSLATE(B145, ""EN"", ""BN"")"),"বিরোধিতা করতে")</f>
        <v>বিরোধিতা করতে</v>
      </c>
      <c r="D145" s="8" t="s">
        <v>433</v>
      </c>
    </row>
    <row r="146">
      <c r="A146" s="5" t="s">
        <v>434</v>
      </c>
      <c r="B146" s="6" t="s">
        <v>435</v>
      </c>
      <c r="C146" s="7" t="str">
        <f>IFERROR(__xludf.DUMMYFUNCTION("GOOGLETRANSLATE(B146, ""EN"", ""BN"")"),"ছোট করে দেখানো")</f>
        <v>ছোট করে দেখানো</v>
      </c>
      <c r="D146" s="8" t="s">
        <v>436</v>
      </c>
    </row>
    <row r="147">
      <c r="A147" s="5" t="s">
        <v>437</v>
      </c>
      <c r="B147" s="6" t="s">
        <v>438</v>
      </c>
      <c r="C147" s="7" t="str">
        <f>IFERROR(__xludf.DUMMYFUNCTION("GOOGLETRANSLATE(B147, ""EN"", ""BN"")"),"ঝগড়াটে")</f>
        <v>ঝগড়াটে</v>
      </c>
      <c r="D147" s="8" t="s">
        <v>439</v>
      </c>
    </row>
    <row r="148">
      <c r="A148" s="5" t="s">
        <v>440</v>
      </c>
      <c r="B148" s="6" t="s">
        <v>441</v>
      </c>
      <c r="C148" s="7" t="str">
        <f>IFERROR(__xludf.DUMMYFUNCTION("GOOGLETRANSLATE(B148, ""EN"", ""BN"")"),"বিভ্রান্ত; হতবাক")</f>
        <v>বিভ্রান্ত; হতবাক</v>
      </c>
      <c r="D148" s="8" t="s">
        <v>442</v>
      </c>
    </row>
    <row r="149">
      <c r="A149" s="5" t="s">
        <v>443</v>
      </c>
      <c r="B149" s="6" t="s">
        <v>444</v>
      </c>
      <c r="C149" s="7" t="str">
        <f>IFERROR(__xludf.DUMMYFUNCTION("GOOGLETRANSLATE(B149, ""EN"", ""BN"")"),"যে উপহার বা অনুদানের আকারে সাহায্য করে
")</f>
        <v>যে উপহার বা অনুদানের আকারে সাহায্য করে
</v>
      </c>
      <c r="D149" s="8" t="s">
        <v>445</v>
      </c>
    </row>
    <row r="150">
      <c r="A150" s="5" t="s">
        <v>446</v>
      </c>
      <c r="B150" s="6" t="s">
        <v>447</v>
      </c>
      <c r="C150" s="7" t="str">
        <f>IFERROR(__xludf.DUMMYFUNCTION("GOOGLETRANSLATE(B150, ""EN"", ""BN"")"),"উদার")</f>
        <v>উদার</v>
      </c>
      <c r="D150" s="8" t="s">
        <v>448</v>
      </c>
    </row>
    <row r="151">
      <c r="A151" s="5" t="s">
        <v>449</v>
      </c>
      <c r="B151" s="6" t="s">
        <v>450</v>
      </c>
      <c r="C151" s="7" t="str">
        <f>IFERROR(__xludf.DUMMYFUNCTION("GOOGLETRANSLATE(B151, ""EN"", ""BN"")"),"ক্ষতিকর নয়")</f>
        <v>ক্ষতিকর নয়</v>
      </c>
      <c r="D151" s="8" t="s">
        <v>451</v>
      </c>
    </row>
    <row r="152">
      <c r="A152" s="5" t="s">
        <v>452</v>
      </c>
      <c r="B152" s="6" t="s">
        <v>453</v>
      </c>
      <c r="C152" s="7" t="str">
        <f>IFERROR(__xludf.DUMMYFUNCTION("GOOGLETRANSLATE(B152, ""EN"", ""BN"")"),"উইলে কারো জন্য রেখে যাওয়া কোনো জিনিস")</f>
        <v>উইলে কারো জন্য রেখে যাওয়া কোনো জিনিস</v>
      </c>
      <c r="D152" s="8" t="s">
        <v>454</v>
      </c>
    </row>
    <row r="153">
      <c r="A153" s="5" t="s">
        <v>455</v>
      </c>
      <c r="B153" s="6" t="s">
        <v>456</v>
      </c>
      <c r="C153" s="7" t="str">
        <f>IFERROR(__xludf.DUMMYFUNCTION("GOOGLETRANSLATE(B153, ""EN"", ""BN"")"),"মৃত্যুর মাধ্যমে নিঃসঙ্গ হয়ে")</f>
        <v>মৃত্যুর মাধ্যমে নিঃসঙ্গ হয়ে</v>
      </c>
      <c r="D153" s="8" t="s">
        <v>457</v>
      </c>
    </row>
    <row r="154">
      <c r="A154" s="5" t="s">
        <v>458</v>
      </c>
      <c r="B154" s="6" t="s">
        <v>459</v>
      </c>
      <c r="C154" s="7" t="str">
        <f>IFERROR(__xludf.DUMMYFUNCTION("GOOGLETRANSLATE(B154, ""EN"", ""BN"")"),"হয়রানি করা; ঘিরে ফেলা")</f>
        <v>হয়রানি করা; ঘিরে ফেলা</v>
      </c>
      <c r="D154" s="8" t="s">
        <v>460</v>
      </c>
    </row>
    <row r="155">
      <c r="A155" s="5" t="s">
        <v>461</v>
      </c>
      <c r="B155" s="6" t="s">
        <v>462</v>
      </c>
      <c r="C155" s="7" t="str">
        <f>IFERROR(__xludf.DUMMYFUNCTION("GOOGLETRANSLATE(B155, ""EN"", ""BN"")"),"পবিত্র বলে গণ্য কোনো কিছুর প্রতি অপমান")</f>
        <v>পবিত্র বলে গণ্য কোনো কিছুর প্রতি অপমান</v>
      </c>
      <c r="D155" s="8" t="s">
        <v>463</v>
      </c>
    </row>
    <row r="156">
      <c r="A156" s="5" t="s">
        <v>464</v>
      </c>
      <c r="B156" s="6" t="s">
        <v>465</v>
      </c>
      <c r="C156" s="7" t="str">
        <f>IFERROR(__xludf.DUMMYFUNCTION("GOOGLETRANSLATE(B156, ""EN"", ""BN"")"),"আপত্তিকরভাবে কোলাহলপূর্ণ; তীব্র দৃষ্টিকটু")</f>
        <v>আপত্তিকরভাবে কোলাহলপূর্ণ; তীব্র দৃষ্টিকটু</v>
      </c>
      <c r="D156" s="8" t="s">
        <v>466</v>
      </c>
    </row>
    <row r="157">
      <c r="A157" s="5" t="s">
        <v>467</v>
      </c>
      <c r="B157" s="6" t="s">
        <v>468</v>
      </c>
      <c r="C157" s="7" t="str">
        <f>IFERROR(__xludf.DUMMYFUNCTION("GOOGLETRANSLATE(B157, ""EN"", ""BN"")"),"চিন্তামুক্ত; প্রফুল্ল")</f>
        <v>চিন্তামুক্ত; প্রফুল্ল</v>
      </c>
      <c r="D157" s="8" t="s">
        <v>469</v>
      </c>
    </row>
    <row r="158">
      <c r="A158" s="5" t="s">
        <v>470</v>
      </c>
      <c r="B158" s="6" t="s">
        <v>471</v>
      </c>
      <c r="C158" s="7" t="str">
        <f>IFERROR(__xludf.DUMMYFUNCTION("GOOGLETRANSLATE(B158, ""EN"", ""BN"")"),"মধ্যবিত্ত; প্রচলিত")</f>
        <v>মধ্যবিত্ত; প্রচলিত</v>
      </c>
      <c r="D158" s="8" t="s">
        <v>472</v>
      </c>
    </row>
    <row r="159">
      <c r="A159" s="5" t="s">
        <v>473</v>
      </c>
      <c r="B159" s="6" t="s">
        <v>474</v>
      </c>
      <c r="C159" s="7" t="str">
        <f>IFERROR(__xludf.DUMMYFUNCTION("GOOGLETRANSLATE(B159, ""EN"", ""BN"")"),"গরুর মতো")</f>
        <v>গরুর মতো</v>
      </c>
      <c r="D159" s="8" t="s">
        <v>475</v>
      </c>
    </row>
    <row r="160">
      <c r="A160" s="5" t="s">
        <v>476</v>
      </c>
      <c r="B160" s="6" t="s">
        <v>477</v>
      </c>
      <c r="C160" s="7" t="str">
        <f>IFERROR(__xludf.DUMMYFUNCTION("GOOGLETRANSLATE(B160, ""EN"", ""BN"")"),"সংক্ষিপ্ততা")</f>
        <v>সংক্ষিপ্ততা</v>
      </c>
      <c r="D160" s="8" t="s">
        <v>478</v>
      </c>
    </row>
    <row r="161">
      <c r="A161" s="5" t="s">
        <v>479</v>
      </c>
      <c r="B161" s="6" t="s">
        <v>480</v>
      </c>
      <c r="C161" s="7" t="str">
        <f>IFERROR(__xludf.DUMMYFUNCTION("GOOGLETRANSLATE(B161, ""EN"", ""BN"")"),"আলোচনার জন্য একটি স্পর্শকাতর বিষয় উত্থাপন করা")</f>
        <v>আলোচনার জন্য একটি স্পর্শকাতর বিষয় উত্থাপন করা</v>
      </c>
      <c r="D161" s="8" t="s">
        <v>481</v>
      </c>
    </row>
    <row r="162">
      <c r="A162" s="5" t="s">
        <v>482</v>
      </c>
      <c r="B162" s="6" t="s">
        <v>483</v>
      </c>
      <c r="C162" s="7" t="str">
        <f>IFERROR(__xludf.DUMMYFUNCTION("GOOGLETRANSLATE(B162, ""EN"", ""BN"")"),"গ্রাম্য")</f>
        <v>গ্রাম্য</v>
      </c>
      <c r="D162" s="8" t="s">
        <v>484</v>
      </c>
    </row>
    <row r="163">
      <c r="A163" s="5" t="s">
        <v>485</v>
      </c>
      <c r="B163" s="6" t="s">
        <v>486</v>
      </c>
      <c r="C163" s="7" t="str">
        <f>IFERROR(__xludf.DUMMYFUNCTION("GOOGLETRANSLATE(B163, ""EN"", ""BN"")"),"বহু দপ্তর নিয়ে গঠিত একটি প্রশাসনিক ব্যবস্থা, বিশেষত যা অনমনীয় ও অদক্ষ নিয়ম অনুসারে পরিচালিত হয়।")</f>
        <v>বহু দপ্তর নিয়ে গঠিত একটি প্রশাসনিক ব্যবস্থা, বিশেষত যা অনমনীয় ও অদক্ষ নিয়ম অনুসারে পরিচালিত হয়।</v>
      </c>
      <c r="D163" s="8" t="s">
        <v>487</v>
      </c>
    </row>
    <row r="164">
      <c r="A164" s="5" t="s">
        <v>488</v>
      </c>
      <c r="B164" s="6" t="s">
        <v>489</v>
      </c>
      <c r="C164" s="7" t="str">
        <f>IFERROR(__xludf.DUMMYFUNCTION("GOOGLETRANSLATE(B164, ""EN"", ""BN"")"),"প্রসারিত হওয়া; সমৃদ্ধ হওয়া")</f>
        <v>প্রসারিত হওয়া; সমৃদ্ধ হওয়া</v>
      </c>
      <c r="D164" s="8" t="s">
        <v>490</v>
      </c>
    </row>
    <row r="165">
      <c r="A165" s="5" t="s">
        <v>491</v>
      </c>
      <c r="B165" s="6" t="s">
        <v>492</v>
      </c>
      <c r="C165" s="7" t="str">
        <f>IFERROR(__xludf.DUMMYFUNCTION("GOOGLETRANSLATE(B165, ""EN"", ""BN"")"),"একটি হাস্যকর, বিদ্রূপাত্মক বা অতিরঞ্জিত অনুকরণ")</f>
        <v>একটি হাস্যকর, বিদ্রূপাত্মক বা অতিরঞ্জিত অনুকরণ</v>
      </c>
      <c r="D165" s="8" t="s">
        <v>493</v>
      </c>
    </row>
    <row r="166">
      <c r="A166" s="5" t="s">
        <v>494</v>
      </c>
      <c r="B166" s="6" t="s">
        <v>495</v>
      </c>
      <c r="C166" s="7" t="str">
        <f>IFERROR(__xludf.DUMMYFUNCTION("GOOGLETRANSLATE(B166, ""EN"", ""BN"")"),"শব্দ, কণ্ঠস্বর বা ধ্বনির কর্কশ মিশ্রণ")</f>
        <v>শব্দ, কণ্ঠস্বর বা ধ্বনির কর্কশ মিশ্রণ</v>
      </c>
      <c r="D166" s="8" t="s">
        <v>496</v>
      </c>
    </row>
    <row r="167">
      <c r="A167" s="5" t="s">
        <v>497</v>
      </c>
      <c r="B167" s="6" t="s">
        <v>498</v>
      </c>
      <c r="C167" s="7" t="str">
        <f>IFERROR(__xludf.DUMMYFUNCTION("GOOGLETRANSLATE(B167, ""EN"", ""BN"")"),"শব্দের উত্থান ও পতন")</f>
        <v>শব্দের উত্থান ও পতন</v>
      </c>
      <c r="D167" s="8" t="s">
        <v>499</v>
      </c>
    </row>
    <row r="168">
      <c r="A168" s="5" t="s">
        <v>500</v>
      </c>
      <c r="B168" s="6" t="s">
        <v>501</v>
      </c>
      <c r="C168" s="7" t="str">
        <f>IFERROR(__xludf.DUMMYFUNCTION("GOOGLETRANSLATE(B168, ""EN"", ""BN"")"),"কাউকে এমন কিছু করতে রাজি করানো যা সে করতে চায় না।")</f>
        <v>কাউকে এমন কিছু করতে রাজি করানো যা সে করতে চায় না।</v>
      </c>
      <c r="D168" s="8" t="s">
        <v>502</v>
      </c>
    </row>
    <row r="169">
      <c r="A169" s="5" t="s">
        <v>503</v>
      </c>
      <c r="B169" s="6" t="s">
        <v>504</v>
      </c>
      <c r="C169" s="7" t="str">
        <f>IFERROR(__xludf.DUMMYFUNCTION("GOOGLETRANSLATE(B169, ""EN"", ""BN"")"),"অপরিণত")</f>
        <v>অপরিণত</v>
      </c>
      <c r="D169" s="8" t="s">
        <v>505</v>
      </c>
    </row>
    <row r="170">
      <c r="A170" s="5" t="s">
        <v>506</v>
      </c>
      <c r="B170" s="6" t="s">
        <v>507</v>
      </c>
      <c r="C170" s="7" t="str">
        <f>IFERROR(__xludf.DUMMYFUNCTION("GOOGLETRANSLATE(B170, ""EN"", ""BN"")"),"আন্তরিক সততা")</f>
        <v>আন্তরিক সততা</v>
      </c>
      <c r="D170" s="8" t="s">
        <v>508</v>
      </c>
    </row>
    <row r="171">
      <c r="A171" s="5" t="s">
        <v>509</v>
      </c>
      <c r="B171" s="6" t="s">
        <v>510</v>
      </c>
      <c r="C171" s="7" t="str">
        <f>IFERROR(__xludf.DUMMYFUNCTION("GOOGLETRANSLATE(B171, ""EN"", ""BN"")"),"একটি অর্থনৈতিক ব্যবস্থা যেখানে ব্যবসা প্রতিষ্ঠানগুলো ব্যক্তিগত নাগরিকদের মালিকানাধীন থাকে")</f>
        <v>একটি অর্থনৈতিক ব্যবস্থা যেখানে ব্যবসা প্রতিষ্ঠানগুলো ব্যক্তিগত নাগরিকদের মালিকানাধীন থাকে</v>
      </c>
      <c r="D171" s="8" t="s">
        <v>511</v>
      </c>
    </row>
    <row r="172">
      <c r="A172" s="5" t="s">
        <v>512</v>
      </c>
      <c r="B172" s="6" t="s">
        <v>513</v>
      </c>
      <c r="C172" s="7" t="str">
        <f>IFERROR(__xludf.DUMMYFUNCTION("GOOGLETRANSLATE(B172, ""EN"", ""BN"")"),"আত্মসমর্পণ করতে")</f>
        <v>আত্মসমর্পণ করতে</v>
      </c>
      <c r="D172" s="8" t="s">
        <v>514</v>
      </c>
    </row>
    <row r="173">
      <c r="A173" s="5" t="s">
        <v>515</v>
      </c>
      <c r="B173" s="6" t="s">
        <v>516</v>
      </c>
      <c r="C173" s="7" t="str">
        <f>IFERROR(__xludf.DUMMYFUNCTION("GOOGLETRANSLATE(B173, ""EN"", ""BN"")"),"অস্থির")</f>
        <v>অস্থির</v>
      </c>
      <c r="D173" s="8" t="s">
        <v>517</v>
      </c>
    </row>
    <row r="174">
      <c r="A174" s="5" t="s">
        <v>518</v>
      </c>
      <c r="B174" s="6" t="s">
        <v>519</v>
      </c>
      <c r="C174" s="7" t="str">
        <f>IFERROR(__xludf.DUMMYFUNCTION("GOOGLETRANSLATE(B174, ""EN"", ""BN"")"),"একটি প্রতিকৃতি বা বর্ণনা যা তার বিষয়বস্তু সম্পর্কে কিছু প্রমাণ করার জন্য ইচ্ছাকৃতভাবে বিকৃত বা অতিরঞ্জিত করা হয়।")</f>
        <v>একটি প্রতিকৃতি বা বর্ণনা যা তার বিষয়বস্তু সম্পর্কে কিছু প্রমাণ করার জন্য ইচ্ছাকৃতভাবে বিকৃত বা অতিরঞ্জিত করা হয়।</v>
      </c>
      <c r="D174" s="8" t="s">
        <v>520</v>
      </c>
    </row>
    <row r="175">
      <c r="A175" s="5" t="s">
        <v>521</v>
      </c>
      <c r="B175" s="6" t="s">
        <v>522</v>
      </c>
      <c r="C175" s="7" t="str">
        <f>IFERROR(__xludf.DUMMYFUNCTION("GOOGLETRANSLATE(B175, ""EN"", ""BN"")"),"কঠোরভাবে সমালোচনা করা")</f>
        <v>কঠোরভাবে সমালোচনা করা</v>
      </c>
      <c r="D175" s="8" t="s">
        <v>523</v>
      </c>
    </row>
    <row r="176">
      <c r="A176" s="5" t="s">
        <v>524</v>
      </c>
      <c r="B176" s="6" t="s">
        <v>525</v>
      </c>
      <c r="C176" s="7" t="str">
        <f>IFERROR(__xludf.DUMMYFUNCTION("GOOGLETRANSLATE(B176, ""EN"", ""BN"")"),"যে কেউ বা যেকোনো কিছু যা সরাসরি জড়িত না থেকেও কোনো কিছু ঘটায়।")</f>
        <v>যে কেউ বা যেকোনো কিছু যা সরাসরি জড়িত না থেকেও কোনো কিছু ঘটায়।</v>
      </c>
      <c r="D176" s="8" t="s">
        <v>526</v>
      </c>
    </row>
    <row r="177">
      <c r="A177" s="5" t="s">
        <v>527</v>
      </c>
      <c r="B177" s="6" t="s">
        <v>528</v>
      </c>
      <c r="C177" s="7" t="str">
        <f>IFERROR(__xludf.DUMMYFUNCTION("GOOGLETRANSLATE(B177, ""EN"", ""BN"")"),"শর্তহীন")</f>
        <v>শর্তহীন</v>
      </c>
      <c r="D177" s="8" t="s">
        <v>529</v>
      </c>
    </row>
    <row r="178">
      <c r="A178" s="5" t="s">
        <v>530</v>
      </c>
      <c r="B178" s="6" t="s">
        <v>531</v>
      </c>
      <c r="C178" s="7" t="str">
        <f>IFERROR(__xludf.DUMMYFUNCTION("GOOGLETRANSLATE(B178, ""EN"", ""BN"")"),"শুদ্ধিকরণ যা নিয়ে আসে
মানসিক স্বস্তি বা নবায়ন")</f>
        <v>শুদ্ধিকরণ যা নিয়ে আসে
মানসিক স্বস্তি বা নবায়ন</v>
      </c>
      <c r="D178" s="8" t="s">
        <v>532</v>
      </c>
    </row>
    <row r="179">
      <c r="A179" s="5" t="s">
        <v>533</v>
      </c>
      <c r="B179" s="6" t="s">
        <v>534</v>
      </c>
      <c r="C179" s="7" t="str">
        <f>IFERROR(__xludf.DUMMYFUNCTION("GOOGLETRANSLATE(B179, ""EN"", ""BN"")"),"সবকিছুকে আলিঙ্গন করা")</f>
        <v>সবকিছুকে আলিঙ্গন করা</v>
      </c>
      <c r="D179" s="8" t="s">
        <v>535</v>
      </c>
    </row>
    <row r="180">
      <c r="A180" s="5" t="s">
        <v>536</v>
      </c>
      <c r="B180" s="6" t="s">
        <v>537</v>
      </c>
      <c r="C180" s="7" t="str">
        <f>IFERROR(__xludf.DUMMYFUNCTION("GOOGLETRANSLATE(B180, ""EN"", ""BN"")"),"ক্ষয়কারী")</f>
        <v>ক্ষয়কারী</v>
      </c>
      <c r="D180" s="8" t="s">
        <v>538</v>
      </c>
    </row>
    <row r="181">
      <c r="A181" s="5" t="s">
        <v>539</v>
      </c>
      <c r="B181" s="6" t="s">
        <v>540</v>
      </c>
      <c r="C181" s="7" t="str">
        <f>IFERROR(__xludf.DUMMYFUNCTION("GOOGLETRANSLATE(B181, ""EN"", ""BN"")"),"যৌন মিলন থেকে বিরত থাকা")</f>
        <v>যৌন মিলন থেকে বিরত থাকা</v>
      </c>
      <c r="D181" s="8" t="s">
        <v>541</v>
      </c>
    </row>
    <row r="182">
      <c r="A182" s="5" t="s">
        <v>542</v>
      </c>
      <c r="B182" s="6" t="s">
        <v>543</v>
      </c>
      <c r="C182" s="7" t="str">
        <f>IFERROR(__xludf.DUMMYFUNCTION("GOOGLETRANSLATE(B182, ""EN"", ""BN"")"),"খারাপ কিছু করার জন্য কঠোরভাবে নিন্দা করা")</f>
        <v>খারাপ কিছু করার জন্য কঠোরভাবে নিন্দা করা</v>
      </c>
      <c r="D182" s="8" t="s">
        <v>544</v>
      </c>
    </row>
    <row r="183">
      <c r="A183" s="5" t="s">
        <v>545</v>
      </c>
      <c r="B183" s="6" t="s">
        <v>546</v>
      </c>
      <c r="C183" s="7" t="str">
        <f>IFERROR(__xludf.DUMMYFUNCTION("GOOGLETRANSLATE(B183, ""EN"", ""BN"")"),"মেধাবী")</f>
        <v>মেধাবী</v>
      </c>
      <c r="D183" s="8" t="s">
        <v>547</v>
      </c>
    </row>
    <row r="184">
      <c r="A184" s="5" t="s">
        <v>548</v>
      </c>
      <c r="B184" s="6" t="s">
        <v>549</v>
      </c>
      <c r="C184" s="7" t="str">
        <f>IFERROR(__xludf.DUMMYFUNCTION("GOOGLETRANSLATE(B184, ""EN"", ""BN"")"),"অপমান")</f>
        <v>অপমান</v>
      </c>
      <c r="D184" s="8" t="s">
        <v>550</v>
      </c>
    </row>
    <row r="185">
      <c r="A185" s="5" t="s">
        <v>551</v>
      </c>
      <c r="B185" s="6" t="s">
        <v>552</v>
      </c>
      <c r="C185" s="7" t="str">
        <f>IFERROR(__xludf.DUMMYFUNCTION("GOOGLETRANSLATE(B185, ""EN"", ""BN"")"),"অনুসারী আকর্ষণ করার বা আনুগত্য জাগিয়ে তোলার এক জাদুকরী ক্ষমতা।")</f>
        <v>অনুসারী আকর্ষণ করার বা আনুগত্য জাগিয়ে তোলার এক জাদুকরী ক্ষমতা।</v>
      </c>
      <c r="D185" s="8" t="s">
        <v>553</v>
      </c>
    </row>
    <row r="186">
      <c r="A186" s="5" t="s">
        <v>554</v>
      </c>
      <c r="B186" s="6" t="s">
        <v>555</v>
      </c>
      <c r="C186" s="7" t="str">
        <f>IFERROR(__xludf.DUMMYFUNCTION("GOOGLETRANSLATE(B186, ""EN"", ""BN"")"),"প্রতারণা")</f>
        <v>প্রতারণা</v>
      </c>
      <c r="D186" s="8" t="s">
        <v>556</v>
      </c>
    </row>
    <row r="187">
      <c r="A187" s="5" t="s">
        <v>557</v>
      </c>
      <c r="B187" s="6" t="s">
        <v>558</v>
      </c>
      <c r="C187" s="7" t="str">
        <f>IFERROR(__xludf.DUMMYFUNCTION("GOOGLETRANSLATE(B187, ""EN"", ""BN"")"),"একটি গভীর, বিশাল গর্ত")</f>
        <v>একটি গভীর, বিশাল গর্ত</v>
      </c>
      <c r="D187" s="8" t="s">
        <v>559</v>
      </c>
    </row>
    <row r="188">
      <c r="A188" s="5" t="s">
        <v>560</v>
      </c>
      <c r="B188" s="6" t="s">
        <v>561</v>
      </c>
      <c r="C188" s="7" t="str">
        <f>IFERROR(__xludf.DUMMYFUNCTION("GOOGLETRANSLATE(B188, ""EN"", ""BN"")"),"শৃঙ্খলাবদ্ধ করতে")</f>
        <v>শৃঙ্খলাবদ্ধ করতে</v>
      </c>
      <c r="D188" s="8" t="s">
        <v>562</v>
      </c>
    </row>
    <row r="189">
      <c r="A189" s="5" t="s">
        <v>563</v>
      </c>
      <c r="B189" s="6" t="s">
        <v>564</v>
      </c>
      <c r="C189" s="7" t="str">
        <f>IFERROR(__xludf.DUMMYFUNCTION("GOOGLETRANSLATE(B189, ""EN"", ""BN"")"),"প্রতারণা, বিশেষ করে আইনি বা
রাজনৈতিক")</f>
        <v>প্রতারণা, বিশেষ করে আইনি বা
রাজনৈতিক</v>
      </c>
      <c r="D189" s="8" t="s">
        <v>565</v>
      </c>
    </row>
    <row r="190">
      <c r="A190" s="5" t="s">
        <v>566</v>
      </c>
      <c r="B190" s="6" t="s">
        <v>567</v>
      </c>
      <c r="C190" s="7" t="str">
        <f>IFERROR(__xludf.DUMMYFUNCTION("GOOGLETRANSLATE(B190, ""EN"", ""BN"")"),"একটি মূর্খ কল্পনা")</f>
        <v>একটি মূর্খ কল্পনা</v>
      </c>
      <c r="D190" s="8" t="s">
        <v>568</v>
      </c>
    </row>
    <row r="191">
      <c r="A191" s="5" t="s">
        <v>569</v>
      </c>
      <c r="B191" s="6" t="s">
        <v>570</v>
      </c>
      <c r="C191" s="7" t="str">
        <f>IFERROR(__xludf.DUMMYFUNCTION("GOOGLETRANSLATE(B191, ""EN"", ""BN"")"),"বদমেজাজি")</f>
        <v>বদমেজাজি</v>
      </c>
      <c r="D191" s="8" t="s">
        <v>571</v>
      </c>
    </row>
    <row r="192">
      <c r="A192" s="5" t="s">
        <v>572</v>
      </c>
      <c r="B192" s="6" t="s">
        <v>573</v>
      </c>
      <c r="C192" s="7" t="str">
        <f>IFERROR(__xludf.DUMMYFUNCTION("GOOGLETRANSLATE(B192, ""EN"", ""BN"")"),"দীর্ঘ সময় ধরে স্থায়ী")</f>
        <v>দীর্ঘ সময় ধরে স্থায়ী</v>
      </c>
      <c r="D192" s="8" t="s">
        <v>574</v>
      </c>
    </row>
    <row r="193">
      <c r="A193" s="5" t="s">
        <v>575</v>
      </c>
      <c r="B193" s="6" t="s">
        <v>576</v>
      </c>
      <c r="C193" s="7" t="str">
        <f>IFERROR(__xludf.DUMMYFUNCTION("GOOGLETRANSLATE(B193, ""EN"", ""BN"")"),"সময়ানুসারে ঘটনাগুলোর বিবরণ")</f>
        <v>সময়ানুসারে ঘটনাগুলোর বিবরণ</v>
      </c>
      <c r="D193" s="8" t="s">
        <v>577</v>
      </c>
    </row>
    <row r="194">
      <c r="A194" s="5" t="s">
        <v>578</v>
      </c>
      <c r="B194" s="6" t="s">
        <v>579</v>
      </c>
      <c r="C194" s="7" t="str">
        <f>IFERROR(__xludf.DUMMYFUNCTION("GOOGLETRANSLATE(B194, ""EN"", ""BN"")"),"গোলচত্বর")</f>
        <v>গোলচত্বর</v>
      </c>
      <c r="D194" s="8" t="s">
        <v>580</v>
      </c>
    </row>
    <row r="195">
      <c r="A195" s="5" t="s">
        <v>581</v>
      </c>
      <c r="B195" s="6" t="s">
        <v>582</v>
      </c>
      <c r="C195" s="7" t="str">
        <f>IFERROR(__xludf.DUMMYFUNCTION("GOOGLETRANSLATE(B195, ""EN"", ""BN"")"),"একটি পরোক্ষ অভিব্যক্তি")</f>
        <v>একটি পরোক্ষ অভিব্যক্তি</v>
      </c>
      <c r="D195" s="8" t="s">
        <v>583</v>
      </c>
    </row>
    <row r="196">
      <c r="A196" s="5" t="s">
        <v>584</v>
      </c>
      <c r="B196" s="6" t="s">
        <v>585</v>
      </c>
      <c r="C196" s="7" t="str">
        <f>IFERROR(__xludf.DUMMYFUNCTION("GOOGLETRANSLATE(B196, ""EN"", ""BN"")"),"সীমাবদ্ধ করতে")</f>
        <v>সীমাবদ্ধ করতে</v>
      </c>
      <c r="D196" s="8" t="s">
        <v>586</v>
      </c>
    </row>
    <row r="197">
      <c r="A197" s="5" t="s">
        <v>587</v>
      </c>
      <c r="B197" s="6" t="s">
        <v>588</v>
      </c>
      <c r="C197" s="7" t="str">
        <f>IFERROR(__xludf.DUMMYFUNCTION("GOOGLETRANSLATE(B197, ""EN"", ""BN"")"),"সতর্ক")</f>
        <v>সতর্ক</v>
      </c>
      <c r="D197" s="8" t="s">
        <v>589</v>
      </c>
    </row>
    <row r="198">
      <c r="A198" s="5" t="s">
        <v>590</v>
      </c>
      <c r="B198" s="6" t="s">
        <v>591</v>
      </c>
      <c r="C198" s="7" t="str">
        <f>IFERROR(__xludf.DUMMYFUNCTION("GOOGLETRANSLATE(B198, ""EN"", ""BN"")"),"যেন ঘিরে ফেলার মাধ্যমে হতাশ করা")</f>
        <v>যেন ঘিরে ফেলার মাধ্যমে হতাশ করা</v>
      </c>
      <c r="D198" s="8" t="s">
        <v>592</v>
      </c>
    </row>
    <row r="199">
      <c r="A199" s="5" t="s">
        <v>593</v>
      </c>
      <c r="B199" s="6" t="s">
        <v>594</v>
      </c>
      <c r="C199" s="7" t="str">
        <f>IFERROR(__xludf.DUMMYFUNCTION("GOOGLETRANSLATE(B199, ""EN"", ""BN"")"),"ভদ্র")</f>
        <v>ভদ্র</v>
      </c>
      <c r="D199" s="8" t="s">
        <v>595</v>
      </c>
    </row>
    <row r="200">
      <c r="A200" s="5" t="s">
        <v>596</v>
      </c>
      <c r="B200" s="6" t="s">
        <v>597</v>
      </c>
      <c r="C200" s="7" t="str">
        <f>IFERROR(__xludf.DUMMYFUNCTION("GOOGLETRANSLATE(B200, ""EN"", ""BN"")"),"ক্ষমা; নম্রতা")</f>
        <v>ক্ষমা; নম্রতা</v>
      </c>
      <c r="D200" s="8" t="s">
        <v>598</v>
      </c>
    </row>
    <row r="201">
      <c r="A201" s="5" t="s">
        <v>599</v>
      </c>
      <c r="B201" s="6" t="s">
        <v>600</v>
      </c>
      <c r="C201" s="7" t="str">
        <f>IFERROR(__xludf.DUMMYFUNCTION("GOOGLETRANSLATE(B201, ""EN"", ""BN"")"),"একটি অতি ব্যবহৃত উক্তি বা ধারণা")</f>
        <v>একটি অতি ব্যবহৃত উক্তি বা ধারণা</v>
      </c>
      <c r="D201" s="8" t="s">
        <v>601</v>
      </c>
    </row>
    <row r="202">
      <c r="A202" s="5" t="s">
        <v>602</v>
      </c>
      <c r="B202" s="6" t="s">
        <v>603</v>
      </c>
      <c r="C202" s="7" t="str">
        <f>IFERROR(__xludf.DUMMYFUNCTION("GOOGLETRANSLATE(B202, ""EN"", ""BN"")"),"কোনো অভিন্ন গুণ বা আগ্রহের দ্বারা একত্রিত একটি বিশেষ গোষ্ঠী")</f>
        <v>কোনো অভিন্ন গুণ বা আগ্রহের দ্বারা একত্রিত একটি বিশেষ গোষ্ঠী</v>
      </c>
      <c r="D202" s="8" t="s">
        <v>604</v>
      </c>
    </row>
    <row r="203">
      <c r="A203" s="5" t="s">
        <v>605</v>
      </c>
      <c r="B203" s="6" t="s">
        <v>606</v>
      </c>
      <c r="C203" s="7" t="str">
        <f>IFERROR(__xludf.DUMMYFUNCTION("GOOGLETRANSLATE(B203, ""EN"", ""BN"")"),"একত্রিত হতে")</f>
        <v>একত্রিত হতে</v>
      </c>
      <c r="D203" s="8" t="s">
        <v>607</v>
      </c>
    </row>
    <row r="204">
      <c r="A204" s="5" t="s">
        <v>608</v>
      </c>
      <c r="B204" s="6" t="s">
        <v>609</v>
      </c>
      <c r="C204" s="7" t="str">
        <f>IFERROR(__xludf.DUMMYFUNCTION("GOOGLETRANSLATE(B204, ""EN"", ""BN"")"),"কাউকে কোনো কিছু করতে বা না করতে বাধ্য করা")</f>
        <v>কাউকে কোনো কিছু করতে বা না করতে বাধ্য করা</v>
      </c>
      <c r="D204" s="8" t="s">
        <v>610</v>
      </c>
    </row>
    <row r="205">
      <c r="A205" s="5" t="s">
        <v>611</v>
      </c>
      <c r="B205" s="6" t="s">
        <v>612</v>
      </c>
      <c r="C205" s="7" t="str">
        <f>IFERROR(__xludf.DUMMYFUNCTION("GOOGLETRANSLATE(B205, ""EN"", ""BN"")"),"অত্যন্ত বিশ্বাসযোগ্য")</f>
        <v>অত্যন্ত বিশ্বাসযোগ্য</v>
      </c>
      <c r="D205" s="8" t="s">
        <v>613</v>
      </c>
    </row>
    <row r="206">
      <c r="A206" s="5" t="s">
        <v>614</v>
      </c>
      <c r="B206" s="6" t="s">
        <v>615</v>
      </c>
      <c r="C206" s="7" t="str">
        <f>IFERROR(__xludf.DUMMYFUNCTION("GOOGLETRANSLATE(B206, ""EN"", ""BN"")"),"আমরা কীভাবে আমাদের ইন্দ্রিয়ের মাধ্যমে চারপাশের জগতকে জানি, তা নিয়ে আলোচনা।")</f>
        <v>আমরা কীভাবে আমাদের ইন্দ্রিয়ের মাধ্যমে চারপাশের জগতকে জানি, তা নিয়ে আলোচনা।</v>
      </c>
      <c r="D206" s="8" t="s">
        <v>616</v>
      </c>
    </row>
    <row r="207">
      <c r="A207" s="5" t="s">
        <v>617</v>
      </c>
      <c r="B207" s="6" t="s">
        <v>618</v>
      </c>
      <c r="C207" s="7" t="str">
        <f>IFERROR(__xludf.DUMMYFUNCTION("GOOGLETRANSLATE(B207, ""EN"", ""BN"")"),"সচেতন; সজাগ")</f>
        <v>সচেতন; সজাগ</v>
      </c>
      <c r="D207" s="8" t="s">
        <v>619</v>
      </c>
    </row>
    <row r="208">
      <c r="A208" s="5" t="s">
        <v>620</v>
      </c>
      <c r="B208" s="6" t="s">
        <v>621</v>
      </c>
      <c r="C208" s="7" t="str">
        <f>IFERROR(__xludf.DUMMYFUNCTION("GOOGLETRANSLATE(B208, ""EN"", ""BN"")"),"একসাথে ধরে রাখা; অর্থবহ হওয়া")</f>
        <v>একসাথে ধরে রাখা; অর্থবহ হওয়া</v>
      </c>
      <c r="D208" s="8" t="s">
        <v>622</v>
      </c>
    </row>
    <row r="209">
      <c r="A209" s="5" t="s">
        <v>623</v>
      </c>
      <c r="B209" s="6" t="s">
        <v>624</v>
      </c>
      <c r="C209" s="7" t="str">
        <f>IFERROR(__xludf.DUMMYFUNCTION("GOOGLETRANSLATE(B209, ""EN"", ""BN"")"),"ভাষায় অনানুষ্ঠানিক")</f>
        <v>ভাষায় অনানুষ্ঠানিক</v>
      </c>
      <c r="D209" s="8" t="s">
        <v>625</v>
      </c>
    </row>
    <row r="210">
      <c r="A210" s="5" t="s">
        <v>626</v>
      </c>
      <c r="B210" s="6" t="s">
        <v>627</v>
      </c>
      <c r="C210" s="7" t="str">
        <f>IFERROR(__xludf.DUMMYFUNCTION("GOOGLETRANSLATE(B210, ""EN"", ""BN"")"),"গোপন সহযোগিতা")</f>
        <v>গোপন সহযোগিতা</v>
      </c>
      <c r="D210" s="8" t="s">
        <v>628</v>
      </c>
    </row>
    <row r="211">
      <c r="A211" s="5" t="s">
        <v>629</v>
      </c>
      <c r="B211" s="6" t="s">
        <v>630</v>
      </c>
      <c r="C211" s="7" t="str">
        <f>IFERROR(__xludf.DUMMYFUNCTION("GOOGLETRANSLATE(B211, ""EN"", ""BN"")"),"আনুপাতিক; সমানুপাতিক")</f>
        <v>আনুপাতিক; সমানুপাতিক</v>
      </c>
      <c r="D211" s="8" t="s">
        <v>631</v>
      </c>
    </row>
    <row r="212">
      <c r="A212" s="5" t="s">
        <v>632</v>
      </c>
      <c r="B212" s="6" t="s">
        <v>633</v>
      </c>
      <c r="C212" s="7" t="str">
        <f>IFERROR(__xludf.DUMMYFUNCTION("GOOGLETRANSLATE(B212, ""EN"", ""BN"")"),"শক্তিশালী")</f>
        <v>শক্তিশালী</v>
      </c>
      <c r="D212" s="8" t="s">
        <v>634</v>
      </c>
    </row>
    <row r="213">
      <c r="A213" s="5" t="s">
        <v>635</v>
      </c>
      <c r="B213" s="6" t="s">
        <v>636</v>
      </c>
      <c r="C213" s="7" t="str">
        <f>IFERROR(__xludf.DUMMYFUNCTION("GOOGLETRANSLATE(B213, ""EN"", ""BN"")"),"একটি সারসংক্ষেপ")</f>
        <v>একটি সারসংক্ষেপ</v>
      </c>
      <c r="D213" s="8" t="s">
        <v>637</v>
      </c>
    </row>
    <row r="214">
      <c r="A214" s="5" t="s">
        <v>638</v>
      </c>
      <c r="B214" s="6" t="s">
        <v>639</v>
      </c>
      <c r="C214" s="7" t="str">
        <f>IFERROR(__xludf.DUMMYFUNCTION("GOOGLETRANSLATE(B214, ""EN"", ""BN"")"),"নিজের প্রতি অতিরিক্ত সন্তুষ্ট")</f>
        <v>নিজের প্রতি অতিরিক্ত সন্তুষ্ট</v>
      </c>
      <c r="D214" s="8" t="s">
        <v>640</v>
      </c>
    </row>
    <row r="215">
      <c r="A215" s="5" t="s">
        <v>641</v>
      </c>
      <c r="B215" s="6" t="s">
        <v>642</v>
      </c>
      <c r="C215" s="7" t="str">
        <f>IFERROR(__xludf.DUMMYFUNCTION("GOOGLETRANSLATE(B215, ""EN"", ""BN"")"),"নিখুঁত প্রতিপক্ষ হতে")</f>
        <v>নিখুঁত প্রতিপক্ষ হতে</v>
      </c>
      <c r="D215" s="8" t="s">
        <v>643</v>
      </c>
    </row>
    <row r="216">
      <c r="A216" s="5" t="s">
        <v>644</v>
      </c>
      <c r="B216" s="6" t="s">
        <v>645</v>
      </c>
      <c r="C216" s="7" t="str">
        <f>IFERROR(__xludf.DUMMYFUNCTION("GOOGLETRANSLATE(B216, ""EN"", ""BN"")"),"অন্যায় কাজে অংশগ্রহণ")</f>
        <v>অন্যায় কাজে অংশগ্রহণ</v>
      </c>
      <c r="D216" s="8" t="s">
        <v>646</v>
      </c>
    </row>
    <row r="217">
      <c r="A217" s="5" t="s">
        <v>647</v>
      </c>
      <c r="B217" s="6" t="s">
        <v>648</v>
      </c>
      <c r="C217" s="7" t="str">
        <f>IFERROR(__xludf.DUMMYFUNCTION("GOOGLETRANSLATE(B217, ""EN"", ""BN"")"),"সবকিছু সহ")</f>
        <v>সবকিছু সহ</v>
      </c>
      <c r="D217" s="8" t="s">
        <v>649</v>
      </c>
    </row>
    <row r="218">
      <c r="A218" s="5" t="s">
        <v>650</v>
      </c>
      <c r="B218" s="6" t="s">
        <v>651</v>
      </c>
      <c r="C218" s="7" t="str">
        <f>IFERROR(__xludf.DUMMYFUNCTION("GOOGLETRANSLATE(B218, ""EN"", ""BN"")"),"গঠিত")</f>
        <v>গঠিত</v>
      </c>
      <c r="D218" s="8" t="s">
        <v>652</v>
      </c>
    </row>
    <row r="219">
      <c r="A219" s="5" t="s">
        <v>653</v>
      </c>
      <c r="B219" s="6" t="s">
        <v>654</v>
      </c>
      <c r="C219" s="7" t="str">
        <f>IFERROR(__xludf.DUMMYFUNCTION("GOOGLETRANSLATE(B219, ""EN"", ""BN"")"),"সদিচ্ছার মাধ্যমে বিরোধ নিষ্পত্তির চেষ্টা করা")</f>
        <v>সদিচ্ছার মাধ্যমে বিরোধ নিষ্পত্তির চেষ্টা করা</v>
      </c>
      <c r="D219" s="8" t="s">
        <v>655</v>
      </c>
    </row>
    <row r="220">
      <c r="A220" s="5" t="s">
        <v>656</v>
      </c>
      <c r="B220" s="6" t="s">
        <v>657</v>
      </c>
      <c r="C220" s="7" t="str">
        <f>IFERROR(__xludf.DUMMYFUNCTION("GOOGLETRANSLATE(B220, ""EN"", ""BN"")"),"সংক্ষিপ্ত")</f>
        <v>সংক্ষিপ্ত</v>
      </c>
      <c r="D220" s="8" t="s">
        <v>658</v>
      </c>
    </row>
    <row r="221">
      <c r="A221" s="5" t="s">
        <v>659</v>
      </c>
      <c r="B221" s="6" t="s">
        <v>660</v>
      </c>
      <c r="C221" s="7" t="str">
        <f>IFERROR(__xludf.DUMMYFUNCTION("GOOGLETRANSLATE(B221, ""EN"", ""BN"")"),"চুক্তি")</f>
        <v>চুক্তি</v>
      </c>
      <c r="D221" s="8" t="s">
        <v>661</v>
      </c>
    </row>
    <row r="222">
      <c r="A222" s="5" t="s">
        <v>662</v>
      </c>
      <c r="B222" s="6" t="s">
        <v>663</v>
      </c>
      <c r="C222" s="7" t="str">
        <f>IFERROR(__xludf.DUMMYFUNCTION("GOOGLETRANSLATE(B222, ""EN"", ""BN"")"),"একই সময়ে ঘটছে")</f>
        <v>একই সময়ে ঘটছে</v>
      </c>
      <c r="D222" s="8" t="s">
        <v>664</v>
      </c>
    </row>
    <row r="223">
      <c r="A223" s="5" t="s">
        <v>665</v>
      </c>
      <c r="B223" s="6" t="s">
        <v>666</v>
      </c>
      <c r="C223" s="7" t="str">
        <f>IFERROR(__xludf.DUMMYFUNCTION("GOOGLETRANSLATE(B223, ""EN"", ""BN"")"),"কারোর স্তরে নেমে আসা")</f>
        <v>কারোর স্তরে নেমে আসা</v>
      </c>
      <c r="D223" s="8" t="s">
        <v>667</v>
      </c>
    </row>
    <row r="224">
      <c r="A224" s="5" t="s">
        <v>668</v>
      </c>
      <c r="B224" s="6" t="s">
        <v>669</v>
      </c>
      <c r="C224" s="7" t="str">
        <f>IFERROR(__xludf.DUMMYFUNCTION("GOOGLETRANSLATE(B224, ""EN"", ""BN"")"),"ঘটতে দেওয়া")</f>
        <v>ঘটতে দেওয়া</v>
      </c>
      <c r="D224" s="8" t="s">
        <v>670</v>
      </c>
    </row>
    <row r="225">
      <c r="A225" s="5" t="s">
        <v>671</v>
      </c>
      <c r="B225" s="6" t="s">
        <v>672</v>
      </c>
      <c r="C225" s="7" t="str">
        <f>IFERROR(__xludf.DUMMYFUNCTION("GOOGLETRANSLATE(B225, ""EN"", ""BN"")"),"প্রচার করা")</f>
        <v>প্রচার করা</v>
      </c>
      <c r="D225" s="8" t="s">
        <v>673</v>
      </c>
    </row>
    <row r="226">
      <c r="A226" s="5" t="s">
        <v>674</v>
      </c>
      <c r="B226" s="6" t="s">
        <v>675</v>
      </c>
      <c r="C226" s="7" t="str">
        <f>IFERROR(__xludf.DUMMYFUNCTION("GOOGLETRANSLATE(B226, ""EN"", ""BN"")"),"যেখানে নদী একসাথে প্রবাহিত হতে শুরু করে")</f>
        <v>যেখানে নদী একসাথে প্রবাহিত হতে শুরু করে</v>
      </c>
      <c r="D226" s="8" t="s">
        <v>676</v>
      </c>
    </row>
    <row r="227">
      <c r="A227" s="5" t="s">
        <v>677</v>
      </c>
      <c r="B227" s="6" t="s">
        <v>678</v>
      </c>
      <c r="C227" s="7" t="str">
        <f>IFERROR(__xludf.DUMMYFUNCTION("GOOGLETRANSLATE(B227, ""EN"", ""BN"")"),"মনোরম")</f>
        <v>মনোরম</v>
      </c>
      <c r="D227" s="8" t="s">
        <v>679</v>
      </c>
    </row>
    <row r="228">
      <c r="A228" s="5" t="s">
        <v>680</v>
      </c>
      <c r="B228" s="6" t="s">
        <v>681</v>
      </c>
      <c r="C228" s="7" t="str">
        <f>IFERROR(__xludf.DUMMYFUNCTION("GOOGLETRANSLATE(B228, ""EN"", ""BN"")"),"প্রকৃতি কর্তৃক জন্মগতভাবে প্রাপ্ত একটি বৈশিষ্ট্য বা অবস্থা")</f>
        <v>প্রকৃতি কর্তৃক জন্মগতভাবে প্রাপ্ত একটি বৈশিষ্ট্য বা অবস্থা</v>
      </c>
      <c r="D228" s="8" t="s">
        <v>682</v>
      </c>
    </row>
    <row r="229">
      <c r="A229" s="5" t="s">
        <v>683</v>
      </c>
      <c r="B229" s="6" t="s">
        <v>684</v>
      </c>
      <c r="C229" s="7" t="str">
        <f>IFERROR(__xludf.DUMMYFUNCTION("GOOGLETRANSLATE(B229, ""EN"", ""BN"")"),"অনুমান করতে")</f>
        <v>অনুমান করতে</v>
      </c>
      <c r="D229" s="8" t="s">
        <v>685</v>
      </c>
    </row>
    <row r="230">
      <c r="A230" s="5" t="s">
        <v>686</v>
      </c>
      <c r="B230" s="6" t="s">
        <v>687</v>
      </c>
      <c r="C230" s="7" t="str">
        <f>IFERROR(__xludf.DUMMYFUNCTION("GOOGLETRANSLATE(B230, ""EN"", ""BN"")"),"যেন জাদুর দ্বারা ডেকে আনা বা অস্তিত্বে আনা")</f>
        <v>যেন জাদুর দ্বারা ডেকে আনা বা অস্তিত্বে আনা</v>
      </c>
      <c r="D230" s="8" t="s">
        <v>688</v>
      </c>
    </row>
    <row r="231">
      <c r="A231" s="5" t="s">
        <v>689</v>
      </c>
      <c r="B231" s="6" t="s">
        <v>690</v>
      </c>
      <c r="C231" s="7" t="str">
        <f>IFERROR(__xludf.DUMMYFUNCTION("GOOGLETRANSLATE(B231, ""EN"", ""BN"")"),"বিশেষত শিল্প বা রুচির বিষয়ে একজন বিশেষজ্ঞ।")</f>
        <v>বিশেষত শিল্প বা রুচির বিষয়ে একজন বিশেষজ্ঞ।</v>
      </c>
      <c r="D231" s="8" t="s">
        <v>691</v>
      </c>
    </row>
    <row r="232">
      <c r="A232" s="5" t="s">
        <v>692</v>
      </c>
      <c r="B232" s="6" t="s">
        <v>693</v>
      </c>
      <c r="C232" s="7" t="str">
        <f>IFERROR(__xludf.DUMMYFUNCTION("GOOGLETRANSLATE(B232, ""EN"", ""BN"")"),"পবিত্র করা বা ঘোষণা করা")</f>
        <v>পবিত্র করা বা ঘোষণা করা</v>
      </c>
      <c r="D232" s="8" t="s">
        <v>694</v>
      </c>
    </row>
    <row r="233">
      <c r="A233" s="5" t="s">
        <v>695</v>
      </c>
      <c r="B233" s="6" t="s">
        <v>696</v>
      </c>
      <c r="C233" s="7" t="str">
        <f>IFERROR(__xludf.DUMMYFUNCTION("GOOGLETRANSLATE(B233, ""EN"", ""BN"")"),"সাধারণ চুক্তি")</f>
        <v>সাধারণ চুক্তি</v>
      </c>
      <c r="D233" s="8" t="s">
        <v>697</v>
      </c>
    </row>
    <row r="234">
      <c r="A234" s="5" t="s">
        <v>698</v>
      </c>
      <c r="B234" s="6" t="s">
        <v>699</v>
      </c>
      <c r="C234" s="7" t="str">
        <f>IFERROR(__xludf.DUMMYFUNCTION("GOOGLETRANSLATE(B234, ""EN"", ""BN"")"),"চুক্তিতে")</f>
        <v>চুক্তিতে</v>
      </c>
      <c r="D234" s="8" t="s">
        <v>700</v>
      </c>
    </row>
    <row r="235">
      <c r="A235" s="5" t="s">
        <v>701</v>
      </c>
      <c r="B235" s="6" t="s">
        <v>702</v>
      </c>
      <c r="C235" s="7" t="str">
        <f>IFERROR(__xludf.DUMMYFUNCTION("GOOGLETRANSLATE(B235, ""EN"", ""BN"")"),"ব্যাখ্যা করতে")</f>
        <v>ব্যাখ্যা করতে</v>
      </c>
      <c r="D235" s="8" t="s">
        <v>703</v>
      </c>
    </row>
    <row r="236">
      <c r="A236" s="5" t="s">
        <v>704</v>
      </c>
      <c r="B236" s="6" t="s">
        <v>705</v>
      </c>
      <c r="C236" s="7" t="str">
        <f>IFERROR(__xludf.DUMMYFUNCTION("GOOGLETRANSLATE(B236, ""EN"", ""BN"")"),"সম্পূর্ণ করা; অত্যন্ত দক্ষ")</f>
        <v>সম্পূর্ণ করা; অত্যন্ত দক্ষ</v>
      </c>
      <c r="D236" s="8" t="s">
        <v>706</v>
      </c>
    </row>
    <row r="237">
      <c r="A237" s="5" t="s">
        <v>707</v>
      </c>
      <c r="B237" s="6" t="s">
        <v>438</v>
      </c>
      <c r="C237" s="7" t="str">
        <f>IFERROR(__xludf.DUMMYFUNCTION("GOOGLETRANSLATE(B237, ""EN"", ""BN"")"),"ঝগড়াটে")</f>
        <v>ঝগড়াটে</v>
      </c>
      <c r="D237" s="8" t="s">
        <v>708</v>
      </c>
    </row>
    <row r="238">
      <c r="A238" s="5" t="s">
        <v>709</v>
      </c>
      <c r="B238" s="6" t="s">
        <v>710</v>
      </c>
      <c r="C238" s="7" t="str">
        <f>IFERROR(__xludf.DUMMYFUNCTION("GOOGLETRANSLATE(B238, ""EN"", ""BN"")"),"পাশাপাশি")</f>
        <v>পাশাপাশি</v>
      </c>
      <c r="D238" s="8" t="s">
        <v>711</v>
      </c>
    </row>
    <row r="239">
      <c r="A239" s="5" t="s">
        <v>712</v>
      </c>
      <c r="B239" s="6" t="s">
        <v>713</v>
      </c>
      <c r="C239" s="7" t="str">
        <f>IFERROR(__xludf.DUMMYFUNCTION("GOOGLETRANSLATE(B239, ""EN"", ""BN"")"),"নির্ভরশীল; সম্ভাব্য")</f>
        <v>নির্ভরশীল; সম্ভাব্য</v>
      </c>
      <c r="D239" s="8" t="s">
        <v>714</v>
      </c>
    </row>
    <row r="240">
      <c r="A240" s="5" t="s">
        <v>715</v>
      </c>
      <c r="B240" s="6" t="s">
        <v>716</v>
      </c>
      <c r="C240" s="7" t="str">
        <f>IFERROR(__xludf.DUMMYFUNCTION("GOOGLETRANSLATE(B240, ""EN"", ""BN"")"),"দোষ স্বীকার করা")</f>
        <v>দোষ স্বীকার করা</v>
      </c>
      <c r="D240" s="8" t="s">
        <v>717</v>
      </c>
    </row>
    <row r="241">
      <c r="A241" s="5" t="s">
        <v>718</v>
      </c>
      <c r="B241" s="6" t="s">
        <v>719</v>
      </c>
      <c r="C241" s="7" t="str">
        <f>IFERROR(__xludf.DUMMYFUNCTION("GOOGLETRANSLATE(B241, ""EN"", ""BN"")"),"কৃত্রিম")</f>
        <v>কৃত্রিম</v>
      </c>
      <c r="D241" s="8" t="s">
        <v>720</v>
      </c>
    </row>
    <row r="242">
      <c r="A242" s="5" t="s">
        <v>721</v>
      </c>
      <c r="B242" s="6" t="s">
        <v>722</v>
      </c>
      <c r="C242" s="7" t="str">
        <f>IFERROR(__xludf.DUMMYFUNCTION("GOOGLETRANSLATE(B242, ""EN"", ""BN"")"),"সাধারণ")</f>
        <v>সাধারণ</v>
      </c>
      <c r="D242" s="8" t="s">
        <v>723</v>
      </c>
    </row>
    <row r="243">
      <c r="A243" s="5" t="s">
        <v>724</v>
      </c>
      <c r="B243" s="6" t="s">
        <v>725</v>
      </c>
      <c r="C243" s="7" t="str">
        <f>IFERROR(__xludf.DUMMYFUNCTION("GOOGLETRANSLATE(B243, ""EN"", ""BN"")"),"উৎসবমুখর")</f>
        <v>উৎসবমুখর</v>
      </c>
      <c r="D243" s="8" t="s">
        <v>726</v>
      </c>
    </row>
    <row r="244">
      <c r="A244" s="5" t="s">
        <v>727</v>
      </c>
      <c r="B244" s="6" t="s">
        <v>728</v>
      </c>
      <c r="C244" s="7" t="str">
        <f>IFERROR(__xludf.DUMMYFUNCTION("GOOGLETRANSLATE(B244, ""EN"", ""BN"")"),"প্রচুর")</f>
        <v>প্রচুর</v>
      </c>
      <c r="D244" s="8" t="s">
        <v>729</v>
      </c>
    </row>
    <row r="245">
      <c r="A245" s="5" t="s">
        <v>730</v>
      </c>
      <c r="B245" s="6" t="s">
        <v>731</v>
      </c>
      <c r="C245" s="7" t="str">
        <f>IFERROR(__xludf.DUMMYFUNCTION("GOOGLETRANSLATE(B245, ""EN"", ""BN"")"),"একটি স্বাভাবিক পরিণতি")</f>
        <v>একটি স্বাভাবিক পরিণতি</v>
      </c>
      <c r="D245" s="8" t="s">
        <v>732</v>
      </c>
    </row>
    <row r="246">
      <c r="A246" s="5" t="s">
        <v>733</v>
      </c>
      <c r="B246" s="6" t="s">
        <v>734</v>
      </c>
      <c r="C246" s="7" t="str">
        <f>IFERROR(__xludf.DUMMYFUNCTION("GOOGLETRANSLATE(B246, ""EN"", ""BN"")"),"প্রমাণ দিয়ে সমর্থন করতে")</f>
        <v>প্রমাণ দিয়ে সমর্থন করতে</v>
      </c>
      <c r="D246" s="8" t="s">
        <v>735</v>
      </c>
    </row>
    <row r="247">
      <c r="A247" s="5" t="s">
        <v>736</v>
      </c>
      <c r="B247" s="6" t="s">
        <v>737</v>
      </c>
      <c r="C247" s="7" t="str">
        <f>IFERROR(__xludf.DUMMYFUNCTION("GOOGLETRANSLATE(B247, ""EN"", ""BN"")"),"অনেক জায়গায় বা পরিস্থিতিতে বাড়িতে")</f>
        <v>অনেক জায়গায় বা পরিস্থিতিতে বাড়িতে</v>
      </c>
      <c r="D247" s="8" t="s">
        <v>738</v>
      </c>
    </row>
    <row r="248">
      <c r="A248" s="5" t="s">
        <v>739</v>
      </c>
      <c r="B248" s="6" t="s">
        <v>740</v>
      </c>
      <c r="C248" s="7" t="str">
        <f>IFERROR(__xludf.DUMMYFUNCTION("GOOGLETRANSLATE(B248, ""EN"", ""BN"")"),"মুখের অভিব্যক্তি")</f>
        <v>মুখের অভিব্যক্তি</v>
      </c>
      <c r="D248" s="8" t="s">
        <v>741</v>
      </c>
    </row>
    <row r="249">
      <c r="A249" s="5" t="s">
        <v>742</v>
      </c>
      <c r="B249" s="6" t="s">
        <v>743</v>
      </c>
      <c r="C249" s="7" t="str">
        <f>IFERROR(__xludf.DUMMYFUNCTION("GOOGLETRANSLATE(B249, ""EN"", ""BN"")"),"একটি উজ্জ্বল বিজয় বা কৃতিত্ব")</f>
        <v>একটি উজ্জ্বল বিজয় বা কৃতিত্ব</v>
      </c>
      <c r="D249" s="8" t="s">
        <v>744</v>
      </c>
    </row>
    <row r="250">
      <c r="A250" s="5" t="s">
        <v>745</v>
      </c>
      <c r="B250" s="6" t="s">
        <v>746</v>
      </c>
      <c r="C250" s="7" t="str">
        <f>IFERROR(__xludf.DUMMYFUNCTION("GOOGLETRANSLATE(B250, ""EN"", ""BN"")"),"একটি পবিত্র চুক্তি")</f>
        <v>একটি পবিত্র চুক্তি</v>
      </c>
      <c r="D250" s="8" t="s">
        <v>747</v>
      </c>
    </row>
    <row r="251">
      <c r="A251" s="5" t="s">
        <v>748</v>
      </c>
      <c r="B251" s="6" t="s">
        <v>749</v>
      </c>
      <c r="C251" s="7" t="str">
        <f>IFERROR(__xludf.DUMMYFUNCTION("GOOGLETRANSLATE(B251, ""EN"", ""BN"")"),"লুকানো")</f>
        <v>লুকানো</v>
      </c>
      <c r="D251" s="8" t="s">
        <v>750</v>
      </c>
    </row>
    <row r="252">
      <c r="A252" s="5" t="s">
        <v>751</v>
      </c>
      <c r="B252" s="6" t="s">
        <v>752</v>
      </c>
      <c r="C252" s="7" t="str">
        <f>IFERROR(__xludf.DUMMYFUNCTION("GOOGLETRANSLATE(B252, ""EN"", ""BN"")"),"ঈর্ষার সাথে কামনা করা")</f>
        <v>ঈর্ষার সাথে কামনা করা</v>
      </c>
      <c r="D252" s="8" t="s">
        <v>753</v>
      </c>
    </row>
    <row r="253">
      <c r="A253" s="5" t="s">
        <v>754</v>
      </c>
      <c r="B253" s="6" t="s">
        <v>755</v>
      </c>
      <c r="C253" s="7" t="str">
        <f>IFERROR(__xludf.DUMMYFUNCTION("GOOGLETRANSLATE(B253, ""EN"", ""BN"")"),"সহজে বিশ্বাসপ্রবণ")</f>
        <v>সহজে বিশ্বাসপ্রবণ</v>
      </c>
      <c r="D253" s="8" t="s">
        <v>756</v>
      </c>
    </row>
    <row r="254">
      <c r="A254" s="5" t="s">
        <v>757</v>
      </c>
      <c r="B254" s="6" t="s">
        <v>758</v>
      </c>
      <c r="C254" s="7" t="str">
        <f>IFERROR(__xludf.DUMMYFUNCTION("GOOGLETRANSLATE(B254, ""EN"", ""BN"")"),"রায়ের ভিত্তি")</f>
        <v>রায়ের ভিত্তি</v>
      </c>
      <c r="D254" s="8" t="s">
        <v>759</v>
      </c>
    </row>
    <row r="255">
      <c r="A255" s="5" t="s">
        <v>760</v>
      </c>
      <c r="B255" s="6" t="s">
        <v>761</v>
      </c>
      <c r="C255" s="7" t="str">
        <f>IFERROR(__xludf.DUMMYFUNCTION("GOOGLETRANSLATE(B255, ""EN"", ""BN"")"),"রহস্যময়")</f>
        <v>রহস্যময়</v>
      </c>
      <c r="D255" s="8" t="s">
        <v>762</v>
      </c>
    </row>
    <row r="256">
      <c r="A256" s="5" t="s">
        <v>763</v>
      </c>
      <c r="B256" s="6" t="s">
        <v>764</v>
      </c>
      <c r="C256" s="7" t="str">
        <f>IFERROR(__xludf.DUMMYFUNCTION("GOOGLETRANSLATE(B256, ""EN"", ""BN"")"),"রান্না বা রান্নাঘর সম্পর্কিত")</f>
        <v>রান্না বা রান্নাঘর সম্পর্কিত</v>
      </c>
      <c r="D256" s="8" t="s">
        <v>765</v>
      </c>
    </row>
    <row r="257">
      <c r="A257" s="5" t="s">
        <v>766</v>
      </c>
      <c r="B257" s="6" t="s">
        <v>767</v>
      </c>
      <c r="C257" s="7" t="str">
        <f>IFERROR(__xludf.DUMMYFUNCTION("GOOGLETRANSLATE(B257, ""EN"", ""BN"")"),"পূর্ণ প্রভাবে পৌঁছাতে")</f>
        <v>পূর্ণ প্রভাবে পৌঁছাতে</v>
      </c>
      <c r="D257" s="8" t="s">
        <v>768</v>
      </c>
    </row>
    <row r="258">
      <c r="A258" s="5" t="s">
        <v>769</v>
      </c>
      <c r="B258" s="6" t="s">
        <v>770</v>
      </c>
      <c r="C258" s="7" t="str">
        <f>IFERROR(__xludf.DUMMYFUNCTION("GOOGLETRANSLATE(B258, ""EN"", ""BN"")"),"দোষী")</f>
        <v>দোষী</v>
      </c>
      <c r="D258" s="8" t="s">
        <v>771</v>
      </c>
    </row>
    <row r="259">
      <c r="A259" s="5" t="s">
        <v>772</v>
      </c>
      <c r="B259" s="6" t="s">
        <v>773</v>
      </c>
      <c r="C259" s="7" t="str">
        <f>IFERROR(__xludf.DUMMYFUNCTION("GOOGLETRANSLATE(B259, ""EN"", ""BN"")"),"উপরিভাগে")</f>
        <v>উপরিভাগে</v>
      </c>
      <c r="D259" s="8" t="s">
        <v>774</v>
      </c>
    </row>
    <row r="260">
      <c r="A260" s="5" t="s">
        <v>775</v>
      </c>
      <c r="B260" s="6" t="s">
        <v>50</v>
      </c>
      <c r="C260" s="7" t="str">
        <f>IFERROR(__xludf.DUMMYFUNCTION("GOOGLETRANSLATE(B260, ""EN"", ""BN"")"),"সংক্ষিপ্ত করতে")</f>
        <v>সংক্ষিপ্ত করতে</v>
      </c>
      <c r="D260" s="8" t="s">
        <v>776</v>
      </c>
    </row>
    <row r="261">
      <c r="A261" s="5" t="s">
        <v>777</v>
      </c>
      <c r="B261" s="6" t="s">
        <v>778</v>
      </c>
      <c r="C261" s="7" t="str">
        <f>IFERROR(__xludf.DUMMYFUNCTION("GOOGLETRANSLATE(B261, ""EN"", ""BN"")"),"যে বিশ্বাস করে মানুষ কেবল স্বার্থপরতা দ্বারা চালিত হয়")</f>
        <v>যে বিশ্বাস করে মানুষ কেবল স্বার্থপরতা দ্বারা চালিত হয়</v>
      </c>
      <c r="D261" s="8" t="s">
        <v>779</v>
      </c>
    </row>
    <row r="262">
      <c r="A262" s="5" t="s">
        <v>780</v>
      </c>
      <c r="B262" s="6" t="s">
        <v>781</v>
      </c>
      <c r="C262" s="7" t="str">
        <f>IFERROR(__xludf.DUMMYFUNCTION("GOOGLETRANSLATE(B262, ""EN"", ""BN"")"),"ভয় দেখানো")</f>
        <v>ভয় দেখানো</v>
      </c>
      <c r="D262" s="8" t="s">
        <v>782</v>
      </c>
    </row>
    <row r="263">
      <c r="A263" s="5" t="s">
        <v>783</v>
      </c>
      <c r="B263" s="6" t="s">
        <v>784</v>
      </c>
      <c r="C263" s="7" t="str">
        <f>IFERROR(__xludf.DUMMYFUNCTION("GOOGLETRANSLATE(B263, ""EN"", ""BN"")"),"অভাব")</f>
        <v>অভাব</v>
      </c>
      <c r="D263" s="8" t="s">
        <v>785</v>
      </c>
    </row>
    <row r="264">
      <c r="A264" s="5" t="s">
        <v>786</v>
      </c>
      <c r="B264" s="6" t="s">
        <v>787</v>
      </c>
      <c r="C264" s="7" t="str">
        <f>IFERROR(__xludf.DUMMYFUNCTION("GOOGLETRANSLATE(B264, ""EN"", ""BN"")"),"শোচনীয় পরাজয়")</f>
        <v>শোচনীয় পরাজয়</v>
      </c>
      <c r="D264" s="8" t="s">
        <v>788</v>
      </c>
    </row>
    <row r="265">
      <c r="A265" s="5" t="s">
        <v>789</v>
      </c>
      <c r="B265" s="6" t="s">
        <v>790</v>
      </c>
      <c r="C265" s="7" t="str">
        <f>IFERROR(__xludf.DUMMYFUNCTION("GOOGLETRANSLATE(B265, ""EN"", ""BN"")"),"অতিরিক্ত অসংযম")</f>
        <v>অতিরিক্ত অসংযম</v>
      </c>
      <c r="D265" s="8" t="s">
        <v>791</v>
      </c>
    </row>
    <row r="266">
      <c r="A266" s="5" t="s">
        <v>792</v>
      </c>
      <c r="B266" s="6" t="s">
        <v>793</v>
      </c>
      <c r="C266" s="7" t="str">
        <f>IFERROR(__xludf.DUMMYFUNCTION("GOOGLETRANSLATE(B266, ""EN"", ""BN"")"),"দুর্বল করতে")</f>
        <v>দুর্বল করতে</v>
      </c>
      <c r="D266" s="8" t="s">
        <v>794</v>
      </c>
    </row>
    <row r="267">
      <c r="A267" s="5" t="s">
        <v>795</v>
      </c>
      <c r="B267" s="6" t="s">
        <v>796</v>
      </c>
      <c r="C267" s="7" t="str">
        <f>IFERROR(__xludf.DUMMYFUNCTION("GOOGLETRANSLATE(B267, ""EN"", ""BN"")"),"নৈতিকতার অবক্ষয়")</f>
        <v>নৈতিকতার অবক্ষয়</v>
      </c>
      <c r="D267" s="8" t="s">
        <v>797</v>
      </c>
    </row>
    <row r="268">
      <c r="A268" s="5" t="s">
        <v>798</v>
      </c>
      <c r="B268" s="6" t="s">
        <v>799</v>
      </c>
      <c r="C268" s="7" t="str">
        <f>IFERROR(__xludf.DUMMYFUNCTION("GOOGLETRANSLATE(B268, ""EN"", ""BN"")"),"হত্যা করা বা ধ্বংস করা একটি বড় অংশ")</f>
        <v>হত্যা করা বা ধ্বংস করা একটি বড় অংশ</v>
      </c>
      <c r="D268" s="8" t="s">
        <v>800</v>
      </c>
    </row>
    <row r="269">
      <c r="A269" s="5" t="s">
        <v>801</v>
      </c>
      <c r="B269" s="6" t="s">
        <v>802</v>
      </c>
      <c r="C269" s="7" t="str">
        <f>IFERROR(__xludf.DUMMYFUNCTION("GOOGLETRANSLATE(B269, ""EN"", ""BN"")"),"সুশৃঙ্খলভাবে")</f>
        <v>সুশৃঙ্খলভাবে</v>
      </c>
      <c r="D269" s="8" t="s">
        <v>803</v>
      </c>
    </row>
    <row r="270">
      <c r="A270" s="5" t="s">
        <v>804</v>
      </c>
      <c r="B270" s="6" t="s">
        <v>805</v>
      </c>
      <c r="C270" s="7" t="str">
        <f>IFERROR(__xludf.DUMMYFUNCTION("GOOGLETRANSLATE(B270, ""EN"", ""BN"")"),"প্রমাণ থেকে উপসংহারে পৌঁছানো")</f>
        <v>প্রমাণ থেকে উপসংহারে পৌঁছানো</v>
      </c>
      <c r="D270" s="8" t="s">
        <v>806</v>
      </c>
    </row>
    <row r="271">
      <c r="A271" s="5" t="s">
        <v>807</v>
      </c>
      <c r="B271" s="6" t="s">
        <v>808</v>
      </c>
      <c r="C271" s="7" t="str">
        <f>IFERROR(__xludf.DUMMYFUNCTION("GOOGLETRANSLATE(B271, ""EN"", ""BN"")"),"সুনাম নষ্ট করতে")</f>
        <v>সুনাম নষ্ট করতে</v>
      </c>
      <c r="D271" s="8" t="s">
        <v>809</v>
      </c>
    </row>
    <row r="272">
      <c r="A272" s="5" t="s">
        <v>810</v>
      </c>
      <c r="B272" s="6" t="s">
        <v>811</v>
      </c>
      <c r="C272" s="7" t="str">
        <f>IFERROR(__xludf.DUMMYFUNCTION("GOOGLETRANSLATE(B272, ""EN"", ""BN"")"),"অন্যের ইচ্ছার কাছে আত্মসমর্পণ")</f>
        <v>অন্যের ইচ্ছার কাছে আত্মসমর্পণ</v>
      </c>
      <c r="D272" s="8" t="s">
        <v>812</v>
      </c>
    </row>
    <row r="273">
      <c r="A273" s="5" t="s">
        <v>813</v>
      </c>
      <c r="B273" s="6" t="s">
        <v>814</v>
      </c>
      <c r="C273" s="7" t="str">
        <f>IFERROR(__xludf.DUMMYFUNCTION("GOOGLETRANSLATE(B273, ""EN"", ""BN"")"),"চূড়ান্ত")</f>
        <v>চূড়ান্ত</v>
      </c>
      <c r="D273" s="8" t="s">
        <v>815</v>
      </c>
    </row>
    <row r="274">
      <c r="A274" s="5" t="s">
        <v>816</v>
      </c>
      <c r="B274" s="6" t="s">
        <v>817</v>
      </c>
      <c r="C274" s="7" t="str">
        <f>IFERROR(__xludf.DUMMYFUNCTION("GOOGLETRANSLATE(B274, ""EN"", ""BN"")"),"অবনতি হওয়া")</f>
        <v>অবনতি হওয়া</v>
      </c>
      <c r="D274" s="8" t="s">
        <v>818</v>
      </c>
    </row>
    <row r="275">
      <c r="A275" s="5" t="s">
        <v>819</v>
      </c>
      <c r="B275" s="6" t="s">
        <v>820</v>
      </c>
      <c r="C275" s="7" t="str">
        <f>IFERROR(__xludf.DUMMYFUNCTION("GOOGLETRANSLATE(B275, ""EN"", ""BN"")"),"ক্ষতিকারক")</f>
        <v>ক্ষতিকারক</v>
      </c>
      <c r="D275" s="8" t="s">
        <v>821</v>
      </c>
    </row>
    <row r="276">
      <c r="A276" s="5" t="s">
        <v>822</v>
      </c>
      <c r="B276" s="6" t="s">
        <v>823</v>
      </c>
      <c r="C276" s="7" t="str">
        <f>IFERROR(__xludf.DUMMYFUNCTION("GOOGLETRANSLATE(B276, ""EN"", ""BN"")"),"সঠিকভাবে বর্ণনা করতে")</f>
        <v>সঠিকভাবে বর্ণনা করতে</v>
      </c>
      <c r="D276" s="8" t="s">
        <v>824</v>
      </c>
    </row>
    <row r="277">
      <c r="A277" s="5" t="s">
        <v>825</v>
      </c>
      <c r="B277" s="6" t="s">
        <v>826</v>
      </c>
      <c r="C277" s="7" t="str">
        <f>IFERROR(__xludf.DUMMYFUNCTION("GOOGLETRANSLATE(B277, ""EN"", ""BN"")"),"প্রতারণা করা")</f>
        <v>প্রতারণা করা</v>
      </c>
      <c r="D277" s="8" t="s">
        <v>827</v>
      </c>
    </row>
    <row r="278">
      <c r="A278" s="5" t="s">
        <v>828</v>
      </c>
      <c r="B278" s="6" t="s">
        <v>829</v>
      </c>
      <c r="C278" s="7" t="str">
        <f>IFERROR(__xludf.DUMMYFUNCTION("GOOGLETRANSLATE(B278, ""EN"", ""BN"")"),"একটি বন্যা")</f>
        <v>একটি বন্যা</v>
      </c>
      <c r="D278" s="8" t="s">
        <v>830</v>
      </c>
    </row>
    <row r="279">
      <c r="A279" s="5" t="s">
        <v>831</v>
      </c>
      <c r="B279" s="6" t="s">
        <v>832</v>
      </c>
      <c r="C279" s="7" t="str">
        <f>IFERROR(__xludf.DUMMYFUNCTION("GOOGLETRANSLATE(B279, ""EN"", ""BN"")"),"জনগণের একজন নেতা যিনি জনসাধারণকে চালিত করেন
")</f>
        <v>জনগণের একজন নেতা যিনি জনসাধারণকে চালিত করেন
</v>
      </c>
      <c r="D279" s="8" t="s">
        <v>833</v>
      </c>
    </row>
    <row r="280">
      <c r="A280" s="5" t="s">
        <v>834</v>
      </c>
      <c r="B280" s="6" t="s">
        <v>835</v>
      </c>
      <c r="C280" s="7" t="str">
        <f>IFERROR(__xludf.DUMMYFUNCTION("GOOGLETRANSLATE(B280, ""EN"", ""BN"")"),"বাসিন্দা")</f>
        <v>বাসিন্দা</v>
      </c>
      <c r="D280" s="8" t="s">
        <v>836</v>
      </c>
    </row>
    <row r="281">
      <c r="A281" s="5" t="s">
        <v>837</v>
      </c>
      <c r="B281" s="6" t="s">
        <v>838</v>
      </c>
      <c r="C281" s="7" t="str">
        <f>IFERROR(__xludf.DUMMYFUNCTION("GOOGLETRANSLATE(B281, ""EN"", ""BN"")"),"চরম দুষ্টতা বা দুর্নীতি")</f>
        <v>চরম দুষ্টতা বা দুর্নীতি</v>
      </c>
      <c r="D281" s="8" t="s">
        <v>839</v>
      </c>
    </row>
    <row r="282">
      <c r="A282" s="5" t="s">
        <v>840</v>
      </c>
      <c r="B282" s="6" t="s">
        <v>841</v>
      </c>
      <c r="C282" s="7" t="str">
        <f>IFERROR(__xludf.DUMMYFUNCTION("GOOGLETRANSLATE(B282, ""EN"", ""BN"")"),"অসমর্থন প্রকাশ করতে")</f>
        <v>অসমর্থন প্রকাশ করতে</v>
      </c>
      <c r="D282" s="8" t="s">
        <v>842</v>
      </c>
    </row>
    <row r="283">
      <c r="A283" s="5" t="s">
        <v>843</v>
      </c>
      <c r="B283" s="6" t="s">
        <v>844</v>
      </c>
      <c r="C283" s="7" t="str">
        <f>IFERROR(__xludf.DUMMYFUNCTION("GOOGLETRANSLATE(B283, ""EN"", ""BN"")"),"উপহাস করা")</f>
        <v>উপহাস করা</v>
      </c>
      <c r="D283" s="8" t="s">
        <v>845</v>
      </c>
    </row>
    <row r="284">
      <c r="A284" s="5" t="s">
        <v>846</v>
      </c>
      <c r="B284" s="6" t="s">
        <v>847</v>
      </c>
      <c r="C284" s="7" t="str">
        <f>IFERROR(__xludf.DUMMYFUNCTION("GOOGLETRANSLATE(B284, ""EN"", ""BN"")"),"অবমাননাকর")</f>
        <v>অবমাননাকর</v>
      </c>
      <c r="D284" s="8" t="s">
        <v>848</v>
      </c>
    </row>
    <row r="285">
      <c r="A285" s="5" t="s">
        <v>849</v>
      </c>
      <c r="B285" s="6" t="s">
        <v>850</v>
      </c>
      <c r="C285" s="7" t="str">
        <f>IFERROR(__xludf.DUMMYFUNCTION("GOOGLETRANSLATE(B285, ""EN"", ""BN"")"),"শুকিয়ে যাওয়া")</f>
        <v>শুকিয়ে যাওয়া</v>
      </c>
      <c r="D285" s="8" t="s">
        <v>851</v>
      </c>
    </row>
    <row r="286">
      <c r="A286" s="5" t="s">
        <v>852</v>
      </c>
      <c r="B286" s="6" t="s">
        <v>853</v>
      </c>
      <c r="C286" s="7" t="str">
        <f>IFERROR(__xludf.DUMMYFUNCTION("GOOGLETRANSLATE(B286, ""EN"", ""BN"")"),"অত্যন্ত হতাশ")</f>
        <v>অত্যন্ত হতাশ</v>
      </c>
      <c r="D286" s="8" t="s">
        <v>854</v>
      </c>
    </row>
    <row r="287">
      <c r="A287" s="5" t="s">
        <v>855</v>
      </c>
      <c r="B287" s="6" t="s">
        <v>856</v>
      </c>
      <c r="C287" s="7" t="str">
        <f>IFERROR(__xludf.DUMMYFUNCTION("GOOGLETRANSLATE(B287, ""EN"", ""BN"")"),"একজন পরম শাসক")</f>
        <v>একজন পরম শাসক</v>
      </c>
      <c r="D287" s="8" t="s">
        <v>857</v>
      </c>
    </row>
    <row r="288">
      <c r="A288" s="5" t="s">
        <v>858</v>
      </c>
      <c r="B288" s="6" t="s">
        <v>859</v>
      </c>
      <c r="C288" s="7" t="str">
        <f>IFERROR(__xludf.DUMMYFUNCTION("GOOGLETRANSLATE(B288, ""EN"", ""BN"")"),"সম্পূর্ণ অভাব")</f>
        <v>সম্পূর্ণ অভাব</v>
      </c>
      <c r="D288" s="8" t="s">
        <v>860</v>
      </c>
    </row>
    <row r="289">
      <c r="A289" s="5" t="s">
        <v>861</v>
      </c>
      <c r="B289" s="6" t="s">
        <v>862</v>
      </c>
      <c r="C289" s="7" t="str">
        <f>IFERROR(__xludf.DUMMYFUNCTION("GOOGLETRANSLATE(B289, ""EN"", ""BN"")"),"কোনো পরিকল্পনা বা উদ্দেশ্য ছাড়া")</f>
        <v>কোনো পরিকল্পনা বা উদ্দেশ্য ছাড়া</v>
      </c>
      <c r="D289" s="8" t="s">
        <v>863</v>
      </c>
    </row>
    <row r="290">
      <c r="A290" s="5" t="s">
        <v>864</v>
      </c>
      <c r="B290" s="6" t="s">
        <v>865</v>
      </c>
      <c r="C290" s="7" t="str">
        <f>IFERROR(__xludf.DUMMYFUNCTION("GOOGLETRANSLATE(B290, ""EN"", ""BN"")"),"আলোচনার মাধ্যমে সত্যের দিকে অগ্রসর হওয়া")</f>
        <v>আলোচনার মাধ্যমে সত্যের দিকে অগ্রসর হওয়া</v>
      </c>
      <c r="D290" s="8" t="s">
        <v>866</v>
      </c>
    </row>
    <row r="291">
      <c r="A291" s="5" t="s">
        <v>867</v>
      </c>
      <c r="B291" s="6" t="s">
        <v>131</v>
      </c>
      <c r="C291" s="7" t="str">
        <f>IFERROR(__xludf.DUMMYFUNCTION("GOOGLETRANSLATE(B291, ""EN"", ""BN"")"),"একটি প্রবাদ")</f>
        <v>একটি প্রবাদ</v>
      </c>
      <c r="D291" s="8" t="s">
        <v>868</v>
      </c>
    </row>
    <row r="292">
      <c r="A292" s="5" t="s">
        <v>869</v>
      </c>
      <c r="B292" s="6" t="s">
        <v>870</v>
      </c>
      <c r="C292" s="7" t="str">
        <f>IFERROR(__xludf.DUMMYFUNCTION("GOOGLETRANSLATE(B292, ""EN"", ""BN"")"),"নৈতিকভাবে শিক্ষামূলক")</f>
        <v>নৈতিকভাবে শিক্ষামূলক</v>
      </c>
      <c r="D292" s="8" t="s">
        <v>871</v>
      </c>
    </row>
    <row r="293">
      <c r="A293" s="5" t="s">
        <v>872</v>
      </c>
      <c r="B293" s="6" t="s">
        <v>873</v>
      </c>
      <c r="C293" s="7" t="str">
        <f>IFERROR(__xludf.DUMMYFUNCTION("GOOGLETRANSLATE(B293, ""EN"", ""BN"")"),"আত্মবিশ্বাসের অভাব")</f>
        <v>আত্মবিশ্বাসের অভাব</v>
      </c>
      <c r="D293" s="8" t="s">
        <v>874</v>
      </c>
    </row>
    <row r="294">
      <c r="A294" s="5" t="s">
        <v>875</v>
      </c>
      <c r="B294" s="6" t="s">
        <v>876</v>
      </c>
      <c r="C294" s="7" t="str">
        <f>IFERROR(__xludf.DUMMYFUNCTION("GOOGLETRANSLATE(B294, ""EN"", ""BN"")"),"মূল বিষয় থেকে সরে যাওয়া")</f>
        <v>মূল বিষয় থেকে সরে যাওয়া</v>
      </c>
      <c r="D294" s="8" t="s">
        <v>877</v>
      </c>
    </row>
    <row r="295">
      <c r="A295" s="5" t="s">
        <v>878</v>
      </c>
      <c r="B295" s="6" t="s">
        <v>879</v>
      </c>
      <c r="C295" s="7" t="str">
        <f>IFERROR(__xludf.DUMMYFUNCTION("GOOGLETRANSLATE(B295, ""EN"", ""BN"")"),"শিল্পকলা সম্পর্কে অগভীর জ্ঞানসম্পন্ন কেউ")</f>
        <v>শিল্পকলা সম্পর্কে অগভীর জ্ঞানসম্পন্ন কেউ</v>
      </c>
      <c r="D295" s="8" t="s">
        <v>880</v>
      </c>
    </row>
    <row r="296">
      <c r="A296" s="5" t="s">
        <v>881</v>
      </c>
      <c r="B296" s="6" t="s">
        <v>882</v>
      </c>
      <c r="C296" s="7" t="str">
        <f>IFERROR(__xludf.DUMMYFUNCTION("GOOGLETRANSLATE(B296, ""EN"", ""BN"")"),"স্পষ্টভাবে উপলব্ধি করা")</f>
        <v>স্পষ্টভাবে উপলব্ধি করা</v>
      </c>
      <c r="D296" s="8" t="s">
        <v>883</v>
      </c>
    </row>
    <row r="297">
      <c r="A297" s="5" t="s">
        <v>884</v>
      </c>
      <c r="B297" s="6" t="s">
        <v>885</v>
      </c>
      <c r="C297" s="7" t="str">
        <f>IFERROR(__xludf.DUMMYFUNCTION("GOOGLETRANSLATE(B297, ""EN"", ""BN"")"),"বিচক্ষণতার সাথে সংরক্ষিত")</f>
        <v>বিচক্ষণতার সাথে সংরক্ষিত</v>
      </c>
      <c r="D297" s="8" t="s">
        <v>886</v>
      </c>
    </row>
    <row r="298">
      <c r="A298" s="5" t="s">
        <v>887</v>
      </c>
      <c r="B298" s="6" t="s">
        <v>888</v>
      </c>
      <c r="C298" s="7" t="str">
        <f>IFERROR(__xludf.DUMMYFUNCTION("GOOGLETRANSLATE(B298, ""EN"", ""BN"")"),"স্বতন্ত্র")</f>
        <v>স্বতন্ত্র</v>
      </c>
      <c r="D298" s="8" t="s">
        <v>889</v>
      </c>
    </row>
    <row r="299">
      <c r="A299" s="5" t="s">
        <v>890</v>
      </c>
      <c r="B299" s="6" t="s">
        <v>891</v>
      </c>
      <c r="C299" s="7" t="str">
        <f>IFERROR(__xludf.DUMMYFUNCTION("GOOGLETRANSLATE(B299, ""EN"", ""BN"")"),"পার্থক্য করতে")</f>
        <v>পার্থক্য করতে</v>
      </c>
      <c r="D299" s="8" t="s">
        <v>892</v>
      </c>
    </row>
    <row r="300">
      <c r="A300" s="5" t="s">
        <v>893</v>
      </c>
      <c r="B300" s="6" t="s">
        <v>894</v>
      </c>
      <c r="C300" s="7" t="str">
        <f>IFERROR(__xludf.DUMMYFUNCTION("GOOGLETRANSLATE(B300, ""EN"", ""BN"")"),"উদ্ধত অবজ্ঞা")</f>
        <v>উদ্ধত অবজ্ঞা</v>
      </c>
      <c r="D300" s="8" t="s">
        <v>895</v>
      </c>
    </row>
    <row r="301">
      <c r="A301" s="5" t="s">
        <v>896</v>
      </c>
      <c r="B301" s="6" t="s">
        <v>897</v>
      </c>
      <c r="C301" s="7" t="str">
        <f>IFERROR(__xludf.DUMMYFUNCTION("GOOGLETRANSLATE(B301, ""EN"", ""BN"")"),"নিরপেক্ষ")</f>
        <v>নিরপেক্ষ</v>
      </c>
      <c r="D301" s="8" t="s">
        <v>898</v>
      </c>
    </row>
    <row r="302">
      <c r="A302" s="5" t="s">
        <v>899</v>
      </c>
      <c r="B302" s="6" t="s">
        <v>900</v>
      </c>
      <c r="C302" s="7" t="str">
        <f>IFERROR(__xludf.DUMMYFUNCTION("GOOGLETRANSLATE(B302, ""EN"", ""BN"")"),"তুচ্ছ করা")</f>
        <v>তুচ্ছ করা</v>
      </c>
      <c r="D302" s="8" t="s">
        <v>901</v>
      </c>
    </row>
    <row r="303">
      <c r="A303" s="5" t="s">
        <v>902</v>
      </c>
      <c r="B303" s="6" t="s">
        <v>903</v>
      </c>
      <c r="C303" s="7" t="str">
        <f>IFERROR(__xludf.DUMMYFUNCTION("GOOGLETRANSLATE(B303, ""EN"", ""BN"")"),"ভিন্ন")</f>
        <v>ভিন্ন</v>
      </c>
      <c r="D303" s="8" t="s">
        <v>904</v>
      </c>
    </row>
    <row r="304">
      <c r="A304" s="5" t="s">
        <v>905</v>
      </c>
      <c r="B304" s="6" t="s">
        <v>906</v>
      </c>
      <c r="C304" s="7" t="str">
        <f>IFERROR(__xludf.DUMMYFUNCTION("GOOGLETRANSLATE(B304, ""EN"", ""BN"")"),"ছড়িয়ে দিতে")</f>
        <v>ছড়িয়ে দিতে</v>
      </c>
      <c r="D304" s="8" t="s">
        <v>907</v>
      </c>
    </row>
    <row r="305">
      <c r="A305" s="5" t="s">
        <v>908</v>
      </c>
      <c r="B305" s="6" t="s">
        <v>909</v>
      </c>
      <c r="C305" s="7" t="str">
        <f>IFERROR(__xludf.DUMMYFUNCTION("GOOGLETRANSLATE(B305, ""EN"", ""BN"")"),"পাতলা হয়ে যাওয়া, ভেসে যাওয়া বা দ্রবীভূত হওয়া")</f>
        <v>পাতলা হয়ে যাওয়া, ভেসে যাওয়া বা দ্রবীভূত হওয়া</v>
      </c>
      <c r="D305" s="8" t="s">
        <v>910</v>
      </c>
    </row>
    <row r="306">
      <c r="A306" s="5" t="s">
        <v>911</v>
      </c>
      <c r="B306" s="6" t="s">
        <v>912</v>
      </c>
      <c r="C306" s="7" t="str">
        <f>IFERROR(__xludf.DUMMYFUNCTION("GOOGLETRANSLATE(B306, ""EN"", ""BN"")"),"কোনো কিছুকে ভেঙে বা দ্রবীভূত করে বিভিন্ন অংশে বিভক্ত করা।")</f>
        <v>কোনো কিছুকে ভেঙে বা দ্রবীভূত করে বিভিন্ন অংশে বিভক্ত করা।</v>
      </c>
      <c r="D306" s="8" t="s">
        <v>913</v>
      </c>
    </row>
    <row r="307">
      <c r="A307" s="5" t="s">
        <v>914</v>
      </c>
      <c r="B307" s="6" t="s">
        <v>915</v>
      </c>
      <c r="C307" s="7" t="str">
        <f>IFERROR(__xludf.DUMMYFUNCTION("GOOGLETRANSLATE(B307, ""EN"", ""BN"")"),"ব্যাপকভাবে প্রসারিত করতে")</f>
        <v>ব্যাপকভাবে প্রসারিত করতে</v>
      </c>
      <c r="D307" s="8" t="s">
        <v>916</v>
      </c>
    </row>
    <row r="308">
      <c r="A308" s="5" t="s">
        <v>917</v>
      </c>
      <c r="B308" s="6" t="s">
        <v>918</v>
      </c>
      <c r="C308" s="7" t="str">
        <f>IFERROR(__xludf.DUMMYFUNCTION("GOOGLETRANSLATE(B308, ""EN"", ""BN"")"),"আলাদা করতে")</f>
        <v>আলাদা করতে</v>
      </c>
      <c r="D308" s="8" t="s">
        <v>919</v>
      </c>
    </row>
    <row r="309">
      <c r="A309" s="5" t="s">
        <v>920</v>
      </c>
      <c r="B309" s="6" t="s">
        <v>921</v>
      </c>
      <c r="C309" s="7" t="str">
        <f>IFERROR(__xludf.DUMMYFUNCTION("GOOGLETRANSLATE(B309, ""EN"", ""BN"")"),"সহজে শেখানো যায়")</f>
        <v>সহজে শেখানো যায়</v>
      </c>
      <c r="D309" s="8" t="s">
        <v>922</v>
      </c>
    </row>
    <row r="310">
      <c r="A310" s="5" t="s">
        <v>923</v>
      </c>
      <c r="B310" s="6" t="s">
        <v>924</v>
      </c>
      <c r="C310" s="7" t="str">
        <f>IFERROR(__xludf.DUMMYFUNCTION("GOOGLETRANSLATE(B310, ""EN"", ""BN"")"),"গোঁড়া")</f>
        <v>গোঁড়া</v>
      </c>
      <c r="D310" s="8" t="s">
        <v>925</v>
      </c>
    </row>
    <row r="311">
      <c r="A311" s="5" t="s">
        <v>926</v>
      </c>
      <c r="B311" s="6" t="s">
        <v>927</v>
      </c>
      <c r="C311" s="7" t="str">
        <f>IFERROR(__xludf.DUMMYFUNCTION("GOOGLETRANSLATE(B311, ""EN"", ""BN"")"),"অপ্রমাণিত ধারণার প্রতি ঔদ্ধত্যপূর্ণভাবে দৃঢ়প্রত্যয়ী")</f>
        <v>অপ্রমাণিত ধারণার প্রতি ঔদ্ধত্যপূর্ণভাবে দৃঢ়প্রত্যয়ী</v>
      </c>
      <c r="D311" s="8" t="s">
        <v>928</v>
      </c>
    </row>
    <row r="312">
      <c r="A312" s="5" t="s">
        <v>929</v>
      </c>
      <c r="B312" s="6" t="s">
        <v>930</v>
      </c>
      <c r="C312" s="7" t="str">
        <f>IFERROR(__xludf.DUMMYFUNCTION("GOOGLETRANSLATE(B312, ""EN"", ""BN"")"),"গৃহস্থালি বা পরিবার সম্পর্কিত")</f>
        <v>গৃহস্থালি বা পরিবার সম্পর্কিত</v>
      </c>
      <c r="D312" s="8" t="s">
        <v>931</v>
      </c>
    </row>
    <row r="313">
      <c r="A313" s="5" t="s">
        <v>932</v>
      </c>
      <c r="B313" s="6" t="s">
        <v>933</v>
      </c>
      <c r="C313" s="7" t="str">
        <f>IFERROR(__xludf.DUMMYFUNCTION("GOOGLETRANSLATE(B313, ""EN"", ""BN"")"),"নিষ্ক্রিয়")</f>
        <v>নিষ্ক্রিয়</v>
      </c>
      <c r="D313" s="8" t="s">
        <v>934</v>
      </c>
    </row>
    <row r="314">
      <c r="A314" s="5" t="s">
        <v>935</v>
      </c>
      <c r="B314" s="6" t="s">
        <v>936</v>
      </c>
      <c r="C314" s="7" t="str">
        <f>IFERROR(__xludf.DUMMYFUNCTION("GOOGLETRANSLATE(B314, ""EN"", ""BN"")"),"অনিশ্চিত")</f>
        <v>অনিশ্চিত</v>
      </c>
      <c r="D314" s="8" t="s">
        <v>937</v>
      </c>
    </row>
    <row r="315">
      <c r="A315" s="5" t="s">
        <v>938</v>
      </c>
      <c r="B315" s="6" t="s">
        <v>939</v>
      </c>
      <c r="C315" s="7" t="str">
        <f>IFERROR(__xludf.DUMMYFUNCTION("GOOGLETRANSLATE(B315, ""EN"", ""BN"")"),"দ্বিমুখী হওয়ার কাজ")</f>
        <v>দ্বিমুখী হওয়ার কাজ</v>
      </c>
      <c r="D315" s="8" t="s">
        <v>940</v>
      </c>
    </row>
    <row r="316">
      <c r="A316" s="5" t="s">
        <v>941</v>
      </c>
      <c r="B316" s="6" t="s">
        <v>942</v>
      </c>
      <c r="C316" s="7" t="str">
        <f>IFERROR(__xludf.DUMMYFUNCTION("GOOGLETRANSLATE(B316, ""EN"", ""BN"")"),"উত্তেজনায় টগবগ করছে")</f>
        <v>উত্তেজনায় টগবগ করছে</v>
      </c>
      <c r="D316" s="8" t="s">
        <v>943</v>
      </c>
    </row>
    <row r="317">
      <c r="A317" s="5" t="s">
        <v>944</v>
      </c>
      <c r="B317" s="6" t="s">
        <v>945</v>
      </c>
      <c r="C317" s="7" t="str">
        <f>IFERROR(__xludf.DUMMYFUNCTION("GOOGLETRANSLATE(B317, ""EN"", ""BN"")"),"প্রচলিত নয়")</f>
        <v>প্রচলিত নয়</v>
      </c>
      <c r="D317" s="8" t="s">
        <v>946</v>
      </c>
    </row>
    <row r="318">
      <c r="A318" s="5" t="s">
        <v>947</v>
      </c>
      <c r="B318" s="6" t="s">
        <v>948</v>
      </c>
      <c r="C318" s="7" t="str">
        <f>IFERROR(__xludf.DUMMYFUNCTION("GOOGLETRANSLATE(B318, ""EN"", ""BN"")"),"বিভিন্ন উৎস থেকে সংগৃহীত")</f>
        <v>বিভিন্ন উৎস থেকে সংগৃহীত</v>
      </c>
      <c r="D318" s="8" t="s">
        <v>949</v>
      </c>
    </row>
    <row r="319">
      <c r="A319" s="5" t="s">
        <v>950</v>
      </c>
      <c r="B319" s="6" t="s">
        <v>951</v>
      </c>
      <c r="C319" s="7" t="str">
        <f>IFERROR(__xludf.DUMMYFUNCTION("GOOGLETRANSLATE(B319, ""EN"", ""BN"")"),"বিশেষত নৈতিক বা ধর্মীয় বিষয়ে নির্দেশ দেওয়া")</f>
        <v>বিশেষত নৈতিক বা ধর্মীয় বিষয়ে নির্দেশ দেওয়া</v>
      </c>
      <c r="D319" s="8" t="s">
        <v>952</v>
      </c>
    </row>
    <row r="320">
      <c r="A320" s="5" t="s">
        <v>953</v>
      </c>
      <c r="B320" s="6" t="s">
        <v>954</v>
      </c>
      <c r="C320" s="7" t="str">
        <f>IFERROR(__xludf.DUMMYFUNCTION("GOOGLETRANSLATE(B320, ""EN"", ""BN"")"),"বৈশিষ্ট্যগুলি মুছে ফেলার জন্য")</f>
        <v>বৈশিষ্ট্যগুলি মুছে ফেলার জন্য</v>
      </c>
      <c r="D320" s="8" t="s">
        <v>955</v>
      </c>
    </row>
    <row r="321">
      <c r="A321" s="5" t="s">
        <v>956</v>
      </c>
      <c r="B321" s="6" t="s">
        <v>957</v>
      </c>
      <c r="C321" s="7" t="str">
        <f>IFERROR(__xludf.DUMMYFUNCTION("GOOGLETRANSLATE(B321, ""EN"", ""BN"")"),"ঢেলে দেওয়া")</f>
        <v>ঢেলে দেওয়া</v>
      </c>
      <c r="D321" s="8" t="s">
        <v>958</v>
      </c>
    </row>
    <row r="322">
      <c r="A322" s="5" t="s">
        <v>959</v>
      </c>
      <c r="B322" s="6" t="s">
        <v>960</v>
      </c>
      <c r="C322" s="7" t="str">
        <f>IFERROR(__xludf.DUMMYFUNCTION("GOOGLETRANSLATE(B322, ""EN"", ""BN"")"),"মানুষের সামাজিক ও অর্থনৈতিক সমতায় বিশ্বাসী")</f>
        <v>মানুষের সামাজিক ও অর্থনৈতিক সমতায় বিশ্বাসী</v>
      </c>
      <c r="D322" s="8" t="s">
        <v>961</v>
      </c>
    </row>
    <row r="323">
      <c r="A323" s="5" t="s">
        <v>962</v>
      </c>
      <c r="B323" s="6" t="s">
        <v>963</v>
      </c>
      <c r="C323" s="7" t="str">
        <f>IFERROR(__xludf.DUMMYFUNCTION("GOOGLETRANSLATE(B323, ""EN"", ""BN"")"),"স্বার্থপর")</f>
        <v>স্বার্থপর</v>
      </c>
      <c r="D323" s="8" t="s">
        <v>964</v>
      </c>
    </row>
    <row r="324">
      <c r="A324" s="5" t="s">
        <v>965</v>
      </c>
      <c r="B324" s="6" t="s">
        <v>966</v>
      </c>
      <c r="C324" s="7" t="str">
        <f>IFERROR(__xludf.DUMMYFUNCTION("GOOGLETRANSLATE(B324, ""EN"", ""BN"")"),"অত্যন্ত খারাপ")</f>
        <v>অত্যন্ত খারাপ</v>
      </c>
      <c r="D324" s="8" t="s">
        <v>967</v>
      </c>
    </row>
    <row r="325">
      <c r="A325" s="5" t="s">
        <v>968</v>
      </c>
      <c r="B325" s="6" t="s">
        <v>969</v>
      </c>
      <c r="C325" s="7" t="str">
        <f>IFERROR(__xludf.DUMMYFUNCTION("GOOGLETRANSLATE(B325, ""EN"", ""BN"")"),"আহ্বান করতে")</f>
        <v>আহ্বান করতে</v>
      </c>
      <c r="D325" s="8" t="s">
        <v>970</v>
      </c>
    </row>
    <row r="326">
      <c r="A326" s="5" t="s">
        <v>971</v>
      </c>
      <c r="B326" s="6" t="s">
        <v>972</v>
      </c>
      <c r="C326" s="7" t="str">
        <f>IFERROR(__xludf.DUMMYFUNCTION("GOOGLETRANSLATE(B326, ""EN"", ""BN"")"),"অস্পষ্ট")</f>
        <v>অস্পষ্ট</v>
      </c>
      <c r="D326" s="8" t="s">
        <v>973</v>
      </c>
    </row>
    <row r="327">
      <c r="A327" s="5" t="s">
        <v>974</v>
      </c>
      <c r="B327" s="6" t="s">
        <v>975</v>
      </c>
      <c r="C327" s="7" t="str">
        <f>IFERROR(__xludf.DUMMYFUNCTION("GOOGLETRANSLATE(B327, ""EN"", ""BN"")"),"নির্দিষ্ট করে বলা কঠিন")</f>
        <v>নির্দিষ্ট করে বলা কঠিন</v>
      </c>
      <c r="D327" s="8" t="s">
        <v>976</v>
      </c>
    </row>
    <row r="328">
      <c r="A328" s="5" t="s">
        <v>977</v>
      </c>
      <c r="B328" s="6" t="s">
        <v>978</v>
      </c>
      <c r="C328" s="7" t="str">
        <f>IFERROR(__xludf.DUMMYFUNCTION("GOOGLETRANSLATE(B328, ""EN"", ""BN"")"),"নতুন দেশে চলে যাওয়া")</f>
        <v>নতুন দেশে চলে যাওয়া</v>
      </c>
      <c r="D328" s="8" t="s">
        <v>979</v>
      </c>
    </row>
    <row r="329">
      <c r="A329" s="5" t="s">
        <v>980</v>
      </c>
      <c r="B329" s="6" t="s">
        <v>981</v>
      </c>
      <c r="C329" s="7" t="str">
        <f>IFERROR(__xludf.DUMMYFUNCTION("GOOGLETRANSLATE(B329, ""EN"", ""BN"")"),"অসামান্য")</f>
        <v>অসামান্য</v>
      </c>
      <c r="D329" s="8" t="s">
        <v>982</v>
      </c>
    </row>
    <row r="330">
      <c r="A330" s="5" t="s">
        <v>983</v>
      </c>
      <c r="B330" s="6" t="s">
        <v>984</v>
      </c>
      <c r="C330" s="7" t="str">
        <f>IFERROR(__xludf.DUMMYFUNCTION("GOOGLETRANSLATE(B330, ""EN"", ""BN"")"),"অভিজ্ঞতা বা পর্যবেক্ষণের উপর নির্ভর করে")</f>
        <v>অভিজ্ঞতা বা পর্যবেক্ষণের উপর নির্ভর করে</v>
      </c>
      <c r="D330" s="8" t="s">
        <v>985</v>
      </c>
    </row>
    <row r="331">
      <c r="A331" s="5" t="s">
        <v>986</v>
      </c>
      <c r="B331" s="6" t="s">
        <v>987</v>
      </c>
      <c r="C331" s="7" t="str">
        <f>IFERROR(__xludf.DUMMYFUNCTION("GOOGLETRANSLATE(B331, ""EN"", ""BN"")"),"সাধারণত অনুকরণের মাধ্যমে সমকক্ষ বা শ্রেষ্ঠ হওয়ার চেষ্টা করা।")</f>
        <v>সাধারণত অনুকরণের মাধ্যমে সমকক্ষ বা শ্রেষ্ঠ হওয়ার চেষ্টা করা।</v>
      </c>
      <c r="D331" s="8" t="s">
        <v>988</v>
      </c>
    </row>
    <row r="332">
      <c r="A332" s="5" t="s">
        <v>989</v>
      </c>
      <c r="B332" s="6" t="s">
        <v>990</v>
      </c>
      <c r="C332" s="7" t="str">
        <f>IFERROR(__xludf.DUMMYFUNCTION("GOOGLETRANSLATE(B332, ""EN"", ""BN"")"),"ধীরে ধীরে প্রবেশ করতে")</f>
        <v>ধীরে ধীরে প্রবেশ করতে</v>
      </c>
      <c r="D332" s="8" t="s">
        <v>991</v>
      </c>
    </row>
    <row r="333">
      <c r="A333" s="5" t="s">
        <v>992</v>
      </c>
      <c r="B333" s="6" t="s">
        <v>41</v>
      </c>
      <c r="C333" s="7" t="str">
        <f>IFERROR(__xludf.DUMMYFUNCTION("GOOGLETRANSLATE(B333, ""EN"", ""BN"")"),"স্থানীয়")</f>
        <v>স্থানীয়</v>
      </c>
      <c r="D333" s="8" t="s">
        <v>993</v>
      </c>
    </row>
    <row r="334">
      <c r="A334" s="5" t="s">
        <v>994</v>
      </c>
      <c r="B334" s="6" t="s">
        <v>995</v>
      </c>
      <c r="C334" s="7" t="str">
        <f>IFERROR(__xludf.DUMMYFUNCTION("GOOGLETRANSLATE(B334, ""EN"", ""BN"")"),"ধীরে ধীরে দুর্বল হয়ে পড়া")</f>
        <v>ধীরে ধীরে দুর্বল হয়ে পড়া</v>
      </c>
      <c r="D334" s="8" t="s">
        <v>996</v>
      </c>
    </row>
    <row r="335">
      <c r="A335" s="5" t="s">
        <v>997</v>
      </c>
      <c r="B335" s="6" t="s">
        <v>998</v>
      </c>
      <c r="C335" s="7" t="str">
        <f>IFERROR(__xludf.DUMMYFUNCTION("GOOGLETRANSLATE(B335, ""EN"", ""BN"")"),"নাগরিকত্বের সুযোগ-সুবিধা প্রদান করা, বিশেষ করে ভোট দেওয়ার অধিকার")</f>
        <v>নাগরিকত্বের সুযোগ-সুবিধা প্রদান করা, বিশেষ করে ভোট দেওয়ার অধিকার</v>
      </c>
      <c r="D335" s="8" t="s">
        <v>999</v>
      </c>
    </row>
    <row r="336">
      <c r="A336" s="5" t="s">
        <v>1000</v>
      </c>
      <c r="B336" s="6" t="s">
        <v>1001</v>
      </c>
      <c r="C336" s="7" t="str">
        <f>IFERROR(__xludf.DUMMYFUNCTION("GOOGLETRANSLATE(B336, ""EN"", ""BN"")"),"কারণ হতে")</f>
        <v>কারণ হতে</v>
      </c>
      <c r="D336" s="8" t="s">
        <v>1002</v>
      </c>
    </row>
    <row r="337">
      <c r="A337" s="5" t="s">
        <v>1003</v>
      </c>
      <c r="B337" s="6" t="s">
        <v>1004</v>
      </c>
      <c r="C337" s="7" t="str">
        <f>IFERROR(__xludf.DUMMYFUNCTION("GOOGLETRANSLATE(B337, ""EN"", ""BN"")"),"একটি রহস্য")</f>
        <v>একটি রহস্য</v>
      </c>
      <c r="D337" s="8" t="s">
        <v>1005</v>
      </c>
    </row>
    <row r="338">
      <c r="A338" s="5" t="s">
        <v>1006</v>
      </c>
      <c r="B338" s="6" t="s">
        <v>1007</v>
      </c>
      <c r="C338" s="7" t="str">
        <f>IFERROR(__xludf.DUMMYFUNCTION("GOOGLETRANSLATE(B338, ""EN"", ""BN"")"),"চরম মন্দ")</f>
        <v>চরম মন্দ</v>
      </c>
      <c r="D338" s="8" t="s">
        <v>1008</v>
      </c>
    </row>
    <row r="339">
      <c r="A339" s="5" t="s">
        <v>1009</v>
      </c>
      <c r="B339" s="6" t="s">
        <v>1010</v>
      </c>
      <c r="C339" s="7" t="str">
        <f>IFERROR(__xludf.DUMMYFUNCTION("GOOGLETRANSLATE(B339, ""EN"", ""BN"")"),"খুব অল্প সময় স্থায়ী")</f>
        <v>খুব অল্প সময় স্থায়ী</v>
      </c>
      <c r="D339" s="8" t="s">
        <v>1011</v>
      </c>
    </row>
    <row r="340">
      <c r="A340" s="5" t="s">
        <v>1012</v>
      </c>
      <c r="B340" s="6" t="s">
        <v>1013</v>
      </c>
      <c r="C340" s="7" t="str">
        <f>IFERROR(__xludf.DUMMYFUNCTION("GOOGLETRANSLATE(B340, ""EN"", ""BN"")"),"একটি সংক্ষিপ্ত এবং সাধারণত বুদ্ধিদীপ্ত বা ব্যঙ্গাত্মক উক্তি")</f>
        <v>একটি সংক্ষিপ্ত এবং সাধারণত বুদ্ধিদীপ্ত বা ব্যঙ্গাত্মক উক্তি</v>
      </c>
      <c r="D340" s="8" t="s">
        <v>1014</v>
      </c>
    </row>
    <row r="341">
      <c r="A341" s="5" t="s">
        <v>1015</v>
      </c>
      <c r="B341" s="6" t="s">
        <v>1016</v>
      </c>
      <c r="C341" s="7" t="str">
        <f>IFERROR(__xludf.DUMMYFUNCTION("GOOGLETRANSLATE(B341, ""EN"", ""BN"")"),"একটি সংক্ষিপ্ত সারসংক্ষেপ যা সমগ্র বিষয়টির অর্থ তুলে ধরে")</f>
        <v>একটি সংক্ষিপ্ত সারসংক্ষেপ যা সমগ্র বিষয়টির অর্থ তুলে ধরে</v>
      </c>
      <c r="D341" s="8" t="s">
        <v>1017</v>
      </c>
    </row>
    <row r="342">
      <c r="A342" s="5" t="s">
        <v>1018</v>
      </c>
      <c r="B342" s="6" t="s">
        <v>1019</v>
      </c>
      <c r="C342" s="7" t="str">
        <f>IFERROR(__xludf.DUMMYFUNCTION("GOOGLETRANSLATE(B342, ""EN"", ""BN"")"),"শান্ত")</f>
        <v>শান্ত</v>
      </c>
      <c r="D342" s="8" t="s">
        <v>1020</v>
      </c>
    </row>
    <row r="343">
      <c r="A343" s="5" t="s">
        <v>1021</v>
      </c>
      <c r="B343" s="6" t="s">
        <v>1022</v>
      </c>
      <c r="C343" s="7" t="str">
        <f>IFERROR(__xludf.DUMMYFUNCTION("GOOGLETRANSLATE(B343, ""EN"", ""BN"")"),"ন্যায্য")</f>
        <v>ন্যায্য</v>
      </c>
      <c r="D343" s="8" t="s">
        <v>1023</v>
      </c>
    </row>
    <row r="344">
      <c r="A344" s="5" t="s">
        <v>1024</v>
      </c>
      <c r="B344" s="6" t="s">
        <v>1025</v>
      </c>
      <c r="C344" s="7" t="str">
        <f>IFERROR(__xludf.DUMMYFUNCTION("GOOGLETRANSLATE(B344, ""EN"", ""BN"")"),"একাধিক উপায়ে ব্যাখ্যা করা যেতে পারে")</f>
        <v>একাধিক উপায়ে ব্যাখ্যা করা যেতে পারে</v>
      </c>
      <c r="D344" s="8" t="s">
        <v>1026</v>
      </c>
    </row>
    <row r="345">
      <c r="A345" s="5" t="s">
        <v>1027</v>
      </c>
      <c r="B345" s="6" t="s">
        <v>1028</v>
      </c>
      <c r="C345" s="7" t="str">
        <f>IFERROR(__xludf.DUMMYFUNCTION("GOOGLETRANSLATE(B345, ""EN"", ""BN"")"),"পাণ্ডিত্যপূর্ণ")</f>
        <v>পাণ্ডিত্যপূর্ণ</v>
      </c>
      <c r="D345" s="8" t="s">
        <v>1029</v>
      </c>
    </row>
    <row r="346">
      <c r="A346" s="5" t="s">
        <v>1030</v>
      </c>
      <c r="B346" s="6" t="s">
        <v>1031</v>
      </c>
      <c r="C346" s="7" t="str">
        <f>IFERROR(__xludf.DUMMYFUNCTION("GOOGLETRANSLATE(B346, ""EN"", ""BN"")"),"বোঝা কঠিন")</f>
        <v>বোঝা কঠিন</v>
      </c>
      <c r="D346" s="8" t="s">
        <v>1032</v>
      </c>
    </row>
    <row r="347">
      <c r="A347" s="5" t="s">
        <v>1033</v>
      </c>
      <c r="B347" s="6" t="s">
        <v>1034</v>
      </c>
      <c r="C347" s="7" t="str">
        <f>IFERROR(__xludf.DUMMYFUNCTION("GOOGLETRANSLATE(B347, ""EN"", ""BN"")"),"সমর্থন করতে")</f>
        <v>সমর্থন করতে</v>
      </c>
      <c r="D347" s="8" t="s">
        <v>1035</v>
      </c>
    </row>
    <row r="348">
      <c r="A348" s="5" t="s">
        <v>1036</v>
      </c>
      <c r="B348" s="6" t="s">
        <v>1037</v>
      </c>
      <c r="C348" s="7" t="str">
        <f>IFERROR(__xludf.DUMMYFUNCTION("GOOGLETRANSLATE(B348, ""EN"", ""BN"")"),"স্বর্গীয়")</f>
        <v>স্বর্গীয়</v>
      </c>
      <c r="D348" s="8" t="s">
        <v>1038</v>
      </c>
    </row>
    <row r="349">
      <c r="A349" s="5" t="s">
        <v>1039</v>
      </c>
      <c r="B349" s="6" t="s">
        <v>1040</v>
      </c>
      <c r="C349" s="7" t="str">
        <f>IFERROR(__xludf.DUMMYFUNCTION("GOOGLETRANSLATE(B349, ""EN"", ""BN"")"),"একটি মনোরম অভিব্যক্তি
যা একটি অপ্রীতিকর অভিব্যক্তির পরিবর্তে ব্যবহৃত হয়")</f>
        <v>একটি মনোরম অভিব্যক্তি
যা একটি অপ্রীতিকর অভিব্যক্তির পরিবর্তে ব্যবহৃত হয়</v>
      </c>
      <c r="D349" s="8" t="s">
        <v>1041</v>
      </c>
    </row>
    <row r="350">
      <c r="A350" s="5" t="s">
        <v>1042</v>
      </c>
      <c r="B350" s="6" t="s">
        <v>1043</v>
      </c>
      <c r="C350" s="7" t="str">
        <f>IFERROR(__xludf.DUMMYFUNCTION("GOOGLETRANSLATE(B350, ""EN"", ""BN"")"),"শুধুমাত্র অল্প সময়ের জন্য ঘটছে")</f>
        <v>শুধুমাত্র অল্প সময়ের জন্য ঘটছে</v>
      </c>
      <c r="D350" s="8" t="s">
        <v>1044</v>
      </c>
    </row>
    <row r="351">
      <c r="A351" s="5" t="s">
        <v>1045</v>
      </c>
      <c r="B351" s="6" t="s">
        <v>1046</v>
      </c>
      <c r="C351" s="7" t="str">
        <f>IFERROR(__xludf.DUMMYFUNCTION("GOOGLETRANSLATE(B351, ""EN"", ""BN"")"),"আরও খারাপ করতে")</f>
        <v>আরও খারাপ করতে</v>
      </c>
      <c r="D351" s="8" t="s">
        <v>1047</v>
      </c>
    </row>
    <row r="352">
      <c r="A352" s="5" t="s">
        <v>1048</v>
      </c>
      <c r="B352" s="6" t="s">
        <v>1049</v>
      </c>
      <c r="C352" s="7" t="str">
        <f>IFERROR(__xludf.DUMMYFUNCTION("GOOGLETRANSLATE(B352, ""EN"", ""BN"")"),"অত্যন্ত চাহিদাপূর্ণ")</f>
        <v>অত্যন্ত চাহিদাপূর্ণ</v>
      </c>
      <c r="D352" s="8" t="s">
        <v>1050</v>
      </c>
    </row>
    <row r="353">
      <c r="A353" s="5" t="s">
        <v>1051</v>
      </c>
      <c r="B353" s="6" t="s">
        <v>1052</v>
      </c>
      <c r="C353" s="7" t="str">
        <f>IFERROR(__xludf.DUMMYFUNCTION("GOOGLETRANSLATE(B353, ""EN"", ""BN"")"),"মহিমান্বিত করতে")</f>
        <v>মহিমান্বিত করতে</v>
      </c>
      <c r="D353" s="8" t="s">
        <v>1053</v>
      </c>
    </row>
    <row r="354">
      <c r="A354" s="5" t="s">
        <v>1054</v>
      </c>
      <c r="B354" s="6" t="s">
        <v>1055</v>
      </c>
      <c r="C354" s="7" t="str">
        <f>IFERROR(__xludf.DUMMYFUNCTION("GOOGLETRANSLATE(B354, ""EN"", ""BN"")"),"বিরক্ত করতে")</f>
        <v>বিরক্ত করতে</v>
      </c>
      <c r="D354" s="8" t="s">
        <v>1056</v>
      </c>
    </row>
    <row r="355">
      <c r="A355" s="5" t="s">
        <v>1057</v>
      </c>
      <c r="B355" s="6" t="s">
        <v>1058</v>
      </c>
      <c r="C355" s="7" t="str">
        <f>IFERROR(__xludf.DUMMYFUNCTION("GOOGLETRANSLATE(B355, ""EN"", ""BN"")"),"উদাহরণ হিসেবে কাজ করতে")</f>
        <v>উদাহরণ হিসেবে কাজ করতে</v>
      </c>
      <c r="D355" s="8" t="s">
        <v>1059</v>
      </c>
    </row>
    <row r="356">
      <c r="A356" s="5" t="s">
        <v>1060</v>
      </c>
      <c r="B356" s="6" t="s">
        <v>1061</v>
      </c>
      <c r="C356" s="7" t="str">
        <f>IFERROR(__xludf.DUMMYFUNCTION("GOOGLETRANSLATE(B356, ""EN"", ""BN"")"),"পুঙ্খানুপুঙ্খ")</f>
        <v>পুঙ্খানুপুঙ্খ</v>
      </c>
      <c r="D356" s="8" t="s">
        <v>1062</v>
      </c>
    </row>
    <row r="357">
      <c r="A357" s="5" t="s">
        <v>1063</v>
      </c>
      <c r="B357" s="6" t="s">
        <v>1064</v>
      </c>
      <c r="C357" s="7" t="str">
        <f>IFERROR(__xludf.DUMMYFUNCTION("GOOGLETRANSLATE(B357, ""EN"", ""BN"")"),"জোরালোভাবে অনুরোধ করতে")</f>
        <v>জোরালোভাবে অনুরোধ করতে</v>
      </c>
      <c r="D357" s="8" t="s">
        <v>1065</v>
      </c>
    </row>
    <row r="358">
      <c r="A358" s="5" t="s">
        <v>1066</v>
      </c>
      <c r="B358" s="6" t="s">
        <v>1067</v>
      </c>
      <c r="C358" s="7" t="str">
        <f>IFERROR(__xludf.DUMMYFUNCTION("GOOGLETRANSLATE(B358, ""EN"", ""BN"")"),"একটি জরুরি অবস্থা")</f>
        <v>একটি জরুরি অবস্থা</v>
      </c>
      <c r="D358" s="8" t="s">
        <v>1068</v>
      </c>
    </row>
    <row r="359">
      <c r="A359" s="5" t="s">
        <v>1069</v>
      </c>
      <c r="B359" s="6" t="s">
        <v>1070</v>
      </c>
      <c r="C359" s="7" t="str">
        <f>IFERROR(__xludf.DUMMYFUNCTION("GOOGLETRANSLATE(B359, ""EN"", ""BN"")"),"এই ধারণা যে মানুষ তার নিজের কাজের জন্য দায়ী")</f>
        <v>এই ধারণা যে মানুষ তার নিজের কাজের জন্য দায়ী</v>
      </c>
      <c r="D359" s="8" t="s">
        <v>1071</v>
      </c>
    </row>
    <row r="360">
      <c r="A360" s="5" t="s">
        <v>1072</v>
      </c>
      <c r="B360" s="6" t="s">
        <v>59</v>
      </c>
      <c r="C360" s="7" t="str">
        <f>IFERROR(__xludf.DUMMYFUNCTION("GOOGLETRANSLATE(B360, ""EN"", ""BN"")"),"দোষ থেকে মুক্ত করতে")</f>
        <v>দোষ থেকে মুক্ত করতে</v>
      </c>
      <c r="D360" s="8" t="s">
        <v>1073</v>
      </c>
    </row>
    <row r="361">
      <c r="A361" s="5" t="s">
        <v>1074</v>
      </c>
      <c r="B361" s="6" t="s">
        <v>1075</v>
      </c>
      <c r="C361" s="7" t="str">
        <f>IFERROR(__xludf.DUMMYFUNCTION("GOOGLETRANSLATE(B361, ""EN"", ""BN"")"),"নিজের জন্মভূমি ছেড়ে চলে যাওয়া")</f>
        <v>নিজের জন্মভূমি ছেড়ে চলে যাওয়া</v>
      </c>
      <c r="D361" s="8" t="s">
        <v>1076</v>
      </c>
    </row>
    <row r="362">
      <c r="A362" s="5" t="s">
        <v>1077</v>
      </c>
      <c r="B362" s="6" t="s">
        <v>1078</v>
      </c>
      <c r="C362" s="7" t="str">
        <f>IFERROR(__xludf.DUMMYFUNCTION("GOOGLETRANSLATE(B362, ""EN"", ""BN"")"),"ব্যবহারিক")</f>
        <v>ব্যবহারিক</v>
      </c>
      <c r="D362" s="8" t="s">
        <v>1079</v>
      </c>
    </row>
    <row r="363">
      <c r="A363" s="5" t="s">
        <v>1080</v>
      </c>
      <c r="B363" s="6" t="s">
        <v>1081</v>
      </c>
      <c r="C363" s="7" t="str">
        <f>IFERROR(__xludf.DUMMYFUNCTION("GOOGLETRANSLATE(B363, ""EN"", ""BN"")"),"কোনো কিছুর অগ্রগতি ত্বরান্বিত করা বা সহজ করা")</f>
        <v>কোনো কিছুর অগ্রগতি ত্বরান্বিত করা বা সহজ করা</v>
      </c>
      <c r="D363" s="8" t="s">
        <v>1082</v>
      </c>
    </row>
    <row r="364">
      <c r="A364" s="5" t="s">
        <v>1083</v>
      </c>
      <c r="B364" s="6" t="s">
        <v>1084</v>
      </c>
      <c r="C364" s="7" t="str">
        <f>IFERROR(__xludf.DUMMYFUNCTION("GOOGLETRANSLATE(B364, ""EN"", ""BN"")"),"স্পষ্টভাবে এবং সরাসরি প্রকাশ করা হয়েছে")</f>
        <v>স্পষ্টভাবে এবং সরাসরি প্রকাশ করা হয়েছে</v>
      </c>
      <c r="D364" s="8" t="s">
        <v>1085</v>
      </c>
    </row>
    <row r="365">
      <c r="A365" s="5" t="s">
        <v>1086</v>
      </c>
      <c r="B365" s="6" t="s">
        <v>1087</v>
      </c>
      <c r="C365" s="7" t="str">
        <f>IFERROR(__xludf.DUMMYFUNCTION("GOOGLETRANSLATE(B365, ""EN"", ""BN"")"),"প্রশংসা করতে")</f>
        <v>প্রশংসা করতে</v>
      </c>
      <c r="D365" s="8" t="s">
        <v>1088</v>
      </c>
    </row>
    <row r="366">
      <c r="A366" s="5" t="s">
        <v>1089</v>
      </c>
      <c r="B366" s="6" t="s">
        <v>1090</v>
      </c>
      <c r="C366" s="7" t="str">
        <f>IFERROR(__xludf.DUMMYFUNCTION("GOOGLETRANSLATE(B366, ""EN"", ""BN"")"),"অপ্রয়োজনীয়")</f>
        <v>অপ্রয়োজনীয়</v>
      </c>
      <c r="D366" s="8" t="s">
        <v>1091</v>
      </c>
    </row>
    <row r="367">
      <c r="A367" s="5" t="s">
        <v>1092</v>
      </c>
      <c r="B367" s="6" t="s">
        <v>1093</v>
      </c>
      <c r="C367" s="7" t="str">
        <f>IFERROR(__xludf.DUMMYFUNCTION("GOOGLETRANSLATE(B367, ""EN"", ""BN"")"),"জ্ঞাত কোনো কিছু থেকে অনুমান করা বা সিদ্ধান্ত নেওয়া")</f>
        <v>জ্ঞাত কোনো কিছু থেকে অনুমান করা বা সিদ্ধান্ত নেওয়া</v>
      </c>
      <c r="D367" s="8" t="s">
        <v>1094</v>
      </c>
    </row>
    <row r="368">
      <c r="A368" s="5" t="s">
        <v>1095</v>
      </c>
      <c r="B368" s="6" t="s">
        <v>1096</v>
      </c>
      <c r="C368" s="7" t="str">
        <f>IFERROR(__xludf.DUMMYFUNCTION("GOOGLETRANSLATE(B368, ""EN"", ""BN"")"),"অসুবিধা থেকে মুক্ত করতে")</f>
        <v>অসুবিধা থেকে মুক্ত করতে</v>
      </c>
      <c r="D368" s="8" t="s">
        <v>1097</v>
      </c>
    </row>
    <row r="369">
      <c r="A369" s="5" t="s">
        <v>1098</v>
      </c>
      <c r="B369" s="6" t="s">
        <v>1099</v>
      </c>
      <c r="C369" s="7" t="str">
        <f>IFERROR(__xludf.DUMMYFUNCTION("GOOGLETRANSLATE(B369, ""EN"", ""BN"")"),"একজন খোলামেলা, মিশুক ব্যক্তি")</f>
        <v>একজন খোলামেলা, মিশুক ব্যক্তি</v>
      </c>
      <c r="D369" s="8" t="s">
        <v>1100</v>
      </c>
    </row>
    <row r="370">
      <c r="A370" s="5" t="s">
        <v>1101</v>
      </c>
      <c r="B370" s="6" t="s">
        <v>1102</v>
      </c>
      <c r="C370" s="7" t="str">
        <f>IFERROR(__xludf.DUMMYFUNCTION("GOOGLETRANSLATE(B370, ""EN"", ""BN"")"),"আনন্দ করতে")</f>
        <v>আনন্দ করতে</v>
      </c>
      <c r="D370" s="8" t="s">
        <v>1103</v>
      </c>
    </row>
    <row r="371">
      <c r="A371" s="5" t="s">
        <v>1104</v>
      </c>
      <c r="B371" s="6" t="s">
        <v>1105</v>
      </c>
      <c r="C371" s="7" t="str">
        <f>IFERROR(__xludf.DUMMYFUNCTION("GOOGLETRANSLATE(B371, ""EN"", ""BN"")"),"একটি মিথ্যা")</f>
        <v>একটি মিথ্যা</v>
      </c>
      <c r="D371" s="8" t="s">
        <v>1106</v>
      </c>
    </row>
    <row r="372">
      <c r="A372" s="5" t="s">
        <v>1107</v>
      </c>
      <c r="B372" s="6" t="s">
        <v>1108</v>
      </c>
      <c r="C372" s="7" t="str">
        <f>IFERROR(__xludf.DUMMYFUNCTION("GOOGLETRANSLATE(B372, ""EN"", ""BN"")"),"হাস্যকর")</f>
        <v>হাস্যকর</v>
      </c>
      <c r="D372" s="8" t="s">
        <v>1109</v>
      </c>
    </row>
    <row r="373">
      <c r="A373" s="5" t="s">
        <v>1110</v>
      </c>
      <c r="B373" s="6" t="s">
        <v>1111</v>
      </c>
      <c r="C373" s="7" t="str">
        <f>IFERROR(__xludf.DUMMYFUNCTION("GOOGLETRANSLATE(B373, ""EN"", ""BN"")"),"অগভীর; সাবলীল")</f>
        <v>অগভীর; সাবলীল</v>
      </c>
      <c r="D373" s="8" t="s">
        <v>1112</v>
      </c>
    </row>
    <row r="374">
      <c r="A374" s="5" t="s">
        <v>1113</v>
      </c>
      <c r="B374" s="6" t="s">
        <v>1114</v>
      </c>
      <c r="C374" s="7" t="str">
        <f>IFERROR(__xludf.DUMMYFUNCTION("GOOGLETRANSLATE(B374, ""EN"", ""BN"")"),"কোনো একটি উদ্দেশ্যকে কেন্দ্র করে একত্রিত, বৃহত্তর কোনো গোষ্ঠীর মধ্যে অবস্থিত একটি ক্ষুদ্র দল।")</f>
        <v>কোনো একটি উদ্দেশ্যকে কেন্দ্র করে একত্রিত, বৃহত্তর কোনো গোষ্ঠীর মধ্যে অবস্থিত একটি ক্ষুদ্র দল।</v>
      </c>
      <c r="D374" s="8" t="s">
        <v>1115</v>
      </c>
    </row>
    <row r="375">
      <c r="A375" s="5" t="s">
        <v>1116</v>
      </c>
      <c r="B375" s="6" t="s">
        <v>1117</v>
      </c>
      <c r="C375" s="7" t="str">
        <f>IFERROR(__xludf.DUMMYFUNCTION("GOOGLETRANSLATE(B375, ""EN"", ""BN"")"),"অযৌক্তিক")</f>
        <v>অযৌক্তিক</v>
      </c>
      <c r="D375" s="8" t="s">
        <v>1118</v>
      </c>
    </row>
    <row r="376">
      <c r="A376" s="5" t="s">
        <v>1119</v>
      </c>
      <c r="B376" s="6" t="s">
        <v>1120</v>
      </c>
      <c r="C376" s="7" t="str">
        <f>IFERROR(__xludf.DUMMYFUNCTION("GOOGLETRANSLATE(B376, ""EN"", ""BN"")"),"পুঙ্খানুপুঙ্খ")</f>
        <v>পুঙ্খানুপুঙ্খ</v>
      </c>
      <c r="D376" s="8" t="s">
        <v>1121</v>
      </c>
    </row>
    <row r="377">
      <c r="A377" s="5" t="s">
        <v>1122</v>
      </c>
      <c r="B377" s="6" t="s">
        <v>1123</v>
      </c>
      <c r="C377" s="7" t="str">
        <f>IFERROR(__xludf.DUMMYFUNCTION("GOOGLETRANSLATE(B377, ""EN"", ""BN"")"),"এমন একজন ব্যক্তি যিনি বিশ্বাস করেন যে ভবিষ্যতের ঘটনা পূর্বনির্ধারিত এবং মানুষ তা পরিবর্তন করতে ক্ষমতাহীন।")</f>
        <v>এমন একজন ব্যক্তি যিনি বিশ্বাস করেন যে ভবিষ্যতের ঘটনা পূর্বনির্ধারিত এবং মানুষ তা পরিবর্তন করতে ক্ষমতাহীন।</v>
      </c>
      <c r="D377" s="8" t="s">
        <v>1124</v>
      </c>
    </row>
    <row r="378">
      <c r="A378" s="5" t="s">
        <v>1125</v>
      </c>
      <c r="B378" s="6" t="s">
        <v>1126</v>
      </c>
      <c r="C378" s="7" t="str">
        <f>IFERROR(__xludf.DUMMYFUNCTION("GOOGLETRANSLATE(B378, ""EN"", ""BN"")"),"বোকা")</f>
        <v>বোকা</v>
      </c>
      <c r="D378" s="8" t="s">
        <v>1127</v>
      </c>
    </row>
    <row r="379">
      <c r="A379" s="5" t="s">
        <v>1128</v>
      </c>
      <c r="B379" s="6" t="s">
        <v>1129</v>
      </c>
      <c r="C379" s="7" t="str">
        <f>IFERROR(__xludf.DUMMYFUNCTION("GOOGLETRANSLATE(B379, ""EN"", ""BN"")"),"পশুদের")</f>
        <v>পশুদের</v>
      </c>
      <c r="D379" s="8" t="s">
        <v>1130</v>
      </c>
    </row>
    <row r="380">
      <c r="A380" s="5" t="s">
        <v>1131</v>
      </c>
      <c r="B380" s="6" t="s">
        <v>1132</v>
      </c>
      <c r="C380" s="7" t="str">
        <f>IFERROR(__xludf.DUMMYFUNCTION("GOOGLETRANSLATE(B380, ""EN"", ""BN"")"),"উৎপাদনশীল")</f>
        <v>উৎপাদনশীল</v>
      </c>
      <c r="D380" s="8" t="s">
        <v>1133</v>
      </c>
    </row>
    <row r="381">
      <c r="A381" s="5" t="s">
        <v>1134</v>
      </c>
      <c r="B381" s="6" t="s">
        <v>1135</v>
      </c>
      <c r="C381" s="7" t="str">
        <f>IFERROR(__xludf.DUMMYFUNCTION("GOOGLETRANSLATE(B381, ""EN"", ""BN"")"),"সুখ")</f>
        <v>সুখ</v>
      </c>
      <c r="D381" s="8" t="s">
        <v>1136</v>
      </c>
    </row>
    <row r="382">
      <c r="A382" s="5" t="s">
        <v>1137</v>
      </c>
      <c r="B382" s="6" t="s">
        <v>1138</v>
      </c>
      <c r="C382" s="7" t="str">
        <f>IFERROR(__xludf.DUMMYFUNCTION("GOOGLETRANSLATE(B382, ""EN"", ""BN"")"),"অনুরাগ")</f>
        <v>অনুরাগ</v>
      </c>
      <c r="D382" s="8" t="s">
        <v>1139</v>
      </c>
    </row>
    <row r="383">
      <c r="A383" s="5" t="s">
        <v>1140</v>
      </c>
      <c r="B383" s="6" t="s">
        <v>1141</v>
      </c>
      <c r="C383" s="7" t="str">
        <f>IFERROR(__xludf.DUMMYFUNCTION("GOOGLETRANSLATE(B383, ""EN"", ""BN"")"),"সংযত করতে")</f>
        <v>সংযত করতে</v>
      </c>
      <c r="D383" s="8" t="s">
        <v>1142</v>
      </c>
    </row>
    <row r="384">
      <c r="A384" s="5" t="s">
        <v>1143</v>
      </c>
      <c r="B384" s="6" t="s">
        <v>206</v>
      </c>
      <c r="C384" s="7" t="str">
        <f>IFERROR(__xludf.DUMMYFUNCTION("GOOGLETRANSLATE(B384, ""EN"", ""BN"")"),"আনুগত্য")</f>
        <v>আনুগত্য</v>
      </c>
      <c r="D384" s="8" t="s">
        <v>1144</v>
      </c>
    </row>
    <row r="385">
      <c r="A385" s="5" t="s">
        <v>1145</v>
      </c>
      <c r="B385" s="6" t="s">
        <v>1146</v>
      </c>
      <c r="C385" s="7" t="str">
        <f>IFERROR(__xludf.DUMMYFUNCTION("GOOGLETRANSLATE(B385, ""EN"", ""BN"")"),"রূপক")</f>
        <v>রূপক</v>
      </c>
      <c r="D385" s="8" t="s">
        <v>1147</v>
      </c>
    </row>
    <row r="386">
      <c r="A386" s="5" t="s">
        <v>1148</v>
      </c>
      <c r="B386" s="6" t="s">
        <v>1149</v>
      </c>
      <c r="C386" s="7" t="str">
        <f>IFERROR(__xludf.DUMMYFUNCTION("GOOGLETRANSLATE(B386, ""EN"", ""BN"")"),"সূক্ষ্মতা")</f>
        <v>সূক্ষ্মতা</v>
      </c>
      <c r="D386" s="8" t="s">
        <v>1150</v>
      </c>
    </row>
    <row r="387">
      <c r="A387" s="5" t="s">
        <v>1151</v>
      </c>
      <c r="B387" s="6" t="s">
        <v>1152</v>
      </c>
      <c r="C387" s="7" t="str">
        <f>IFERROR(__xludf.DUMMYFUNCTION("GOOGLETRANSLATE(B387, ""EN"", ""BN"")"),"কেলেঙ্কারিপূর্ণ, স্পষ্ট")</f>
        <v>কেলেঙ্কারিপূর্ণ, স্পষ্ট</v>
      </c>
      <c r="D387" s="8" t="s">
        <v>1153</v>
      </c>
    </row>
    <row r="388">
      <c r="A388" s="5" t="s">
        <v>1154</v>
      </c>
      <c r="B388" s="6" t="s">
        <v>1155</v>
      </c>
      <c r="C388" s="7" t="str">
        <f>IFERROR(__xludf.DUMMYFUNCTION("GOOGLETRANSLATE(B388, ""EN"", ""BN"")"),"বড়াই করতে")</f>
        <v>বড়াই করতে</v>
      </c>
      <c r="D388" s="8" t="s">
        <v>1156</v>
      </c>
    </row>
    <row r="389">
      <c r="A389" s="5" t="s">
        <v>1157</v>
      </c>
      <c r="B389" s="6" t="s">
        <v>1158</v>
      </c>
      <c r="C389" s="7" t="str">
        <f>IFERROR(__xludf.DUMMYFUNCTION("GOOGLETRANSLATE(B389, ""EN"", ""BN"")"),"অসম্মানবশত কোনো কিছু অগ্রাহ্য করা")</f>
        <v>অসম্মানবশত কোনো কিছু অগ্রাহ্য করা</v>
      </c>
      <c r="D389" s="8" t="s">
        <v>1159</v>
      </c>
    </row>
    <row r="390">
      <c r="A390" s="5" t="s">
        <v>1160</v>
      </c>
      <c r="B390" s="6" t="s">
        <v>1161</v>
      </c>
      <c r="C390" s="7" t="str">
        <f>IFERROR(__xludf.DUMMYFUNCTION("GOOGLETRANSLATE(B390, ""EN"", ""BN"")"),"একটি ছোটখাটো চারিত্রিক ত্রুটি")</f>
        <v>একটি ছোটখাটো চারিত্রিক ত্রুটি</v>
      </c>
      <c r="D390" s="8" t="s">
        <v>1162</v>
      </c>
    </row>
    <row r="391">
      <c r="A391" s="5" t="s">
        <v>1163</v>
      </c>
      <c r="B391" s="6" t="s">
        <v>1164</v>
      </c>
      <c r="C391" s="7" t="str">
        <f>IFERROR(__xludf.DUMMYFUNCTION("GOOGLETRANSLATE(B391, ""EN"", ""BN"")"),"উত্তেজিত করা")</f>
        <v>উত্তেজিত করা</v>
      </c>
      <c r="D391" s="8" t="s">
        <v>1165</v>
      </c>
    </row>
    <row r="392">
      <c r="A392" s="5" t="s">
        <v>1166</v>
      </c>
      <c r="B392" s="6" t="s">
        <v>32</v>
      </c>
      <c r="C392" s="7" t="str">
        <f>IFERROR(__xludf.DUMMYFUNCTION("GOOGLETRANSLATE(B392, ""EN"", ""BN"")"),"বিরত থাকা")</f>
        <v>বিরত থাকা</v>
      </c>
      <c r="D392" s="8" t="s">
        <v>1167</v>
      </c>
    </row>
    <row r="393">
      <c r="A393" s="5" t="s">
        <v>1168</v>
      </c>
      <c r="B393" s="6" t="s">
        <v>1169</v>
      </c>
      <c r="C393" s="7" t="str">
        <f>IFERROR(__xludf.DUMMYFUNCTION("GOOGLETRANSLATE(B393, ""EN"", ""BN"")"),"ছাড়া চলতে")</f>
        <v>ছাড়া চলতে</v>
      </c>
      <c r="D393" s="8" t="s">
        <v>1170</v>
      </c>
    </row>
    <row r="394">
      <c r="A394" s="5" t="s">
        <v>1171</v>
      </c>
      <c r="B394" s="6" t="s">
        <v>1172</v>
      </c>
      <c r="C394" s="7" t="str">
        <f>IFERROR(__xludf.DUMMYFUNCTION("GOOGLETRANSLATE(B394, ""EN"", ""BN"")"),"পরিত্যাগ করতে")</f>
        <v>পরিত্যাগ করতে</v>
      </c>
      <c r="D394" s="8" t="s">
        <v>1173</v>
      </c>
    </row>
    <row r="395">
      <c r="A395" s="5" t="s">
        <v>1174</v>
      </c>
      <c r="B395" s="6" t="s">
        <v>161</v>
      </c>
      <c r="C395" s="7" t="str">
        <f>IFERROR(__xludf.DUMMYFUNCTION("GOOGLETRANSLATE(B395, ""EN"", ""BN"")"),"দুর্ঘটনাজনিত")</f>
        <v>দুর্ঘটনাজনিত</v>
      </c>
      <c r="D395" s="8" t="s">
        <v>1175</v>
      </c>
    </row>
    <row r="396">
      <c r="A396" s="5" t="s">
        <v>1176</v>
      </c>
      <c r="B396" s="6" t="s">
        <v>1177</v>
      </c>
      <c r="C396" s="7" t="str">
        <f>IFERROR(__xludf.DUMMYFUNCTION("GOOGLETRANSLATE(B396, ""EN"", ""BN"")"),"ভেঙে পড়া")</f>
        <v>ভেঙে পড়া</v>
      </c>
      <c r="D396" s="8" t="s">
        <v>1178</v>
      </c>
    </row>
    <row r="397">
      <c r="A397" s="5" t="s">
        <v>1179</v>
      </c>
      <c r="B397" s="6" t="s">
        <v>1180</v>
      </c>
      <c r="C397" s="7" t="str">
        <f>IFERROR(__xludf.DUMMYFUNCTION("GOOGLETRANSLATE(B397, ""EN"", ""BN"")"),"ভাইদের মতো")</f>
        <v>ভাইদের মতো</v>
      </c>
      <c r="D397" s="8" t="s">
        <v>1181</v>
      </c>
    </row>
    <row r="398">
      <c r="A398" s="5" t="s">
        <v>1182</v>
      </c>
      <c r="B398" s="6" t="s">
        <v>1183</v>
      </c>
      <c r="C398" s="7" t="str">
        <f>IFERROR(__xludf.DUMMYFUNCTION("GOOGLETRANSLATE(B398, ""EN"", ""BN"")"),"বেশ উদ্দাম এবং অনিয়ন্ত্রিতভাবে দ্রুত এবং উদ্যমী।")</f>
        <v>বেশ উদ্দাম এবং অনিয়ন্ত্রিতভাবে দ্রুত এবং উদ্যমী।</v>
      </c>
      <c r="D398" s="8" t="s">
        <v>1184</v>
      </c>
    </row>
    <row r="399">
      <c r="A399" s="5" t="s">
        <v>1185</v>
      </c>
      <c r="B399" s="6" t="s">
        <v>1186</v>
      </c>
      <c r="C399" s="7" t="str">
        <f>IFERROR(__xludf.DUMMYFUNCTION("GOOGLETRANSLATE(B399, ""EN"", ""BN"")"),"সাশ্রয়ী")</f>
        <v>সাশ্রয়ী</v>
      </c>
      <c r="D399" s="8" t="s">
        <v>1187</v>
      </c>
    </row>
    <row r="400">
      <c r="A400" s="5" t="s">
        <v>1188</v>
      </c>
      <c r="B400" s="6" t="s">
        <v>1189</v>
      </c>
      <c r="C400" s="7" t="str">
        <f>IFERROR(__xludf.DUMMYFUNCTION("GOOGLETRANSLATE(B400, ""EN"", ""BN"")"),"গোপনীয়")</f>
        <v>গোপনীয়</v>
      </c>
      <c r="D400" s="8" t="s">
        <v>1190</v>
      </c>
    </row>
    <row r="401">
      <c r="A401" s="5" t="s">
        <v>1191</v>
      </c>
      <c r="B401" s="6" t="s">
        <v>1192</v>
      </c>
      <c r="C401" s="7" t="str">
        <f>IFERROR(__xludf.DUMMYFUNCTION("GOOGLETRANSLATE(B401, ""EN"", ""BN"")"),"অকেজো; হতাশাজনক")</f>
        <v>অকেজো; হতাশাজনক</v>
      </c>
      <c r="D401" s="8" t="s">
        <v>1193</v>
      </c>
    </row>
    <row r="402">
      <c r="A402" s="5" t="s">
        <v>1194</v>
      </c>
      <c r="B402" s="6" t="s">
        <v>1195</v>
      </c>
      <c r="C402" s="7" t="str">
        <f>IFERROR(__xludf.DUMMYFUNCTION("GOOGLETRANSLATE(B402, ""EN"", ""BN"")"),"বাচাল")</f>
        <v>বাচাল</v>
      </c>
      <c r="D402" s="8" t="s">
        <v>1196</v>
      </c>
    </row>
    <row r="403">
      <c r="A403" s="5" t="s">
        <v>1197</v>
      </c>
      <c r="B403" s="6" t="s">
        <v>1198</v>
      </c>
      <c r="C403" s="7" t="str">
        <f>IFERROR(__xludf.DUMMYFUNCTION("GOOGLETRANSLATE(B403, ""EN"", ""BN"")"),"এক প্রকার, বিশেষত শিল্পকলা বা লেখার।")</f>
        <v>এক প্রকার, বিশেষত শিল্পকলা বা লেখার।</v>
      </c>
      <c r="D403" s="8" t="s">
        <v>1199</v>
      </c>
    </row>
    <row r="404">
      <c r="A404" s="5" t="s">
        <v>1200</v>
      </c>
      <c r="B404" s="6" t="s">
        <v>1201</v>
      </c>
      <c r="C404" s="7" t="str">
        <f>IFERROR(__xludf.DUMMYFUNCTION("GOOGLETRANSLATE(B404, ""EN"", ""BN"")"),"পরিমার্জিত")</f>
        <v>পরিমার্জিত</v>
      </c>
      <c r="D404" s="8" t="s">
        <v>1202</v>
      </c>
    </row>
    <row r="405">
      <c r="A405" s="5" t="s">
        <v>1203</v>
      </c>
      <c r="B405" s="6" t="s">
        <v>1204</v>
      </c>
      <c r="C405" s="7" t="str">
        <f>IFERROR(__xludf.DUMMYFUNCTION("GOOGLETRANSLATE(B405, ""EN"", ""BN"")"),"অঙ্গভঙ্গি করা, বিশেষত কথা বলার সময় বা কথা বলার পরিবর্তে")</f>
        <v>অঙ্গভঙ্গি করা, বিশেষত কথা বলার সময় বা কথা বলার পরিবর্তে</v>
      </c>
      <c r="D405" s="8" t="s">
        <v>1205</v>
      </c>
    </row>
    <row r="406">
      <c r="A406" s="5" t="s">
        <v>1206</v>
      </c>
      <c r="B406" s="6" t="s">
        <v>1207</v>
      </c>
      <c r="C406" s="7" t="str">
        <f>IFERROR(__xludf.DUMMYFUNCTION("GOOGLETRANSLATE(B406, ""EN"", ""BN"")"),"উদ্বৃত্ত")</f>
        <v>উদ্বৃত্ত</v>
      </c>
      <c r="D406" s="8" t="s">
        <v>1208</v>
      </c>
    </row>
    <row r="407">
      <c r="A407" s="5" t="s">
        <v>1209</v>
      </c>
      <c r="B407" s="6" t="s">
        <v>1210</v>
      </c>
      <c r="C407" s="7" t="str">
        <f>IFERROR(__xludf.DUMMYFUNCTION("GOOGLETRANSLATE(B407, ""EN"", ""BN"")"),"প্রভাবশালী দেখানোর চেষ্টায় অনেক বড় বড় ও জাঁকজমকপূর্ণ শব্দ ব্যবহার করা")</f>
        <v>প্রভাবশালী দেখানোর চেষ্টায় অনেক বড় বড় ও জাঁকজমকপূর্ণ শব্দ ব্যবহার করা</v>
      </c>
      <c r="D407" s="8" t="s">
        <v>1211</v>
      </c>
    </row>
    <row r="408">
      <c r="A408" s="5" t="s">
        <v>1212</v>
      </c>
      <c r="B408" s="6" t="s">
        <v>1213</v>
      </c>
      <c r="C408" s="7" t="str">
        <f>IFERROR(__xludf.DUMMYFUNCTION("GOOGLETRANSLATE(B408, ""EN"", ""BN"")"),"অযৌক্তিকভাবে অতিরঞ্জিত")</f>
        <v>অযৌক্তিকভাবে অতিরঞ্জিত</v>
      </c>
      <c r="D408" s="8" t="s">
        <v>1214</v>
      </c>
    </row>
    <row r="409">
      <c r="A409" s="5" t="s">
        <v>1215</v>
      </c>
      <c r="B409" s="6" t="s">
        <v>1216</v>
      </c>
      <c r="C409" s="7" t="str">
        <f>IFERROR(__xludf.DUMMYFUNCTION("GOOGLETRANSLATE(B409, ""EN"", ""BN"")"),"অযাচিত")</f>
        <v>অযাচিত</v>
      </c>
      <c r="D409" s="8" t="s">
        <v>1217</v>
      </c>
    </row>
    <row r="410">
      <c r="A410" s="5" t="s">
        <v>1218</v>
      </c>
      <c r="B410" s="6" t="s">
        <v>1219</v>
      </c>
      <c r="C410" s="7" t="str">
        <f>IFERROR(__xludf.DUMMYFUNCTION("GOOGLETRANSLATE(B410, ""EN"", ""BN"")"),"গুরুত্ব")</f>
        <v>গুরুত্ব</v>
      </c>
      <c r="D410" s="8" t="s">
        <v>1220</v>
      </c>
    </row>
    <row r="411">
      <c r="A411" s="5" t="s">
        <v>1221</v>
      </c>
      <c r="B411" s="6" t="s">
        <v>1222</v>
      </c>
      <c r="C411" s="7" t="str">
        <f>IFERROR(__xludf.DUMMYFUNCTION("GOOGLETRANSLATE(B411, ""EN"", ""BN"")"),"সামাজিক")</f>
        <v>সামাজিক</v>
      </c>
      <c r="D411" s="8" t="s">
        <v>1223</v>
      </c>
    </row>
    <row r="412">
      <c r="A412" s="5" t="s">
        <v>1224</v>
      </c>
      <c r="B412" s="6" t="s">
        <v>1225</v>
      </c>
      <c r="C412" s="7" t="str">
        <f>IFERROR(__xludf.DUMMYFUNCTION("GOOGLETRANSLATE(B412, ""EN"", ""BN"")"),"দ্বৈততা")</f>
        <v>দ্বৈততা</v>
      </c>
      <c r="D412" s="8" t="s">
        <v>1226</v>
      </c>
    </row>
    <row r="413">
      <c r="A413" s="5" t="s">
        <v>1227</v>
      </c>
      <c r="B413" s="6" t="s">
        <v>1228</v>
      </c>
      <c r="C413" s="7" t="str">
        <f>IFERROR(__xludf.DUMMYFUNCTION("GOOGLETRANSLATE(B413, ""EN"", ""BN"")"),"অতিরিক্ত ব্যবহৃত")</f>
        <v>অতিরিক্ত ব্যবহৃত</v>
      </c>
      <c r="D413" s="8" t="s">
        <v>1229</v>
      </c>
    </row>
    <row r="414">
      <c r="A414" s="5" t="s">
        <v>1230</v>
      </c>
      <c r="B414" s="6" t="s">
        <v>1231</v>
      </c>
      <c r="C414" s="7" t="str">
        <f>IFERROR(__xludf.DUMMYFUNCTION("GOOGLETRANSLATE(B414, ""EN"", ""BN"")"),"দুর্ভাগ্যবান")</f>
        <v>দুর্ভাগ্যবান</v>
      </c>
      <c r="D414" s="8" t="s">
        <v>1232</v>
      </c>
    </row>
    <row r="415">
      <c r="A415" s="5" t="s">
        <v>1233</v>
      </c>
      <c r="B415" s="6" t="s">
        <v>1234</v>
      </c>
      <c r="C415" s="7" t="str">
        <f>IFERROR(__xludf.DUMMYFUNCTION("GOOGLETRANSLATE(B415, ""EN"", ""BN"")"),"একটি সংকেত")</f>
        <v>একটি সংকেত</v>
      </c>
      <c r="D415" s="8" t="s">
        <v>1235</v>
      </c>
    </row>
    <row r="416">
      <c r="A416" s="5" t="s">
        <v>1236</v>
      </c>
      <c r="B416" s="6" t="s">
        <v>1237</v>
      </c>
      <c r="C416" s="7" t="str">
        <f>IFERROR(__xludf.DUMMYFUNCTION("GOOGLETRANSLATE(B416, ""EN"", ""BN"")"),"জীবনধারা হিসেবে আনন্দের পিছনে ছোটা")</f>
        <v>জীবনধারা হিসেবে আনন্দের পিছনে ছোটা</v>
      </c>
      <c r="D416" s="8" t="s">
        <v>1238</v>
      </c>
    </row>
    <row r="417">
      <c r="A417" s="5" t="s">
        <v>1239</v>
      </c>
      <c r="B417" s="6" t="s">
        <v>1240</v>
      </c>
      <c r="C417" s="7" t="str">
        <f>IFERROR(__xludf.DUMMYFUNCTION("GOOGLETRANSLATE(B417, ""EN"", ""BN"")"),"নেতৃত্ব, বিশেষত এক জাতির অন্য জাতির উপর")</f>
        <v>নেতৃত্ব, বিশেষত এক জাতির অন্য জাতির উপর</v>
      </c>
      <c r="D417" s="8" t="s">
        <v>1241</v>
      </c>
    </row>
    <row r="418">
      <c r="A418" s="5" t="s">
        <v>1242</v>
      </c>
      <c r="B418" s="6" t="s">
        <v>1243</v>
      </c>
      <c r="C418" s="7" t="str">
        <f>IFERROR(__xludf.DUMMYFUNCTION("GOOGLETRANSLATE(B418, ""EN"", ""BN"")"),"যেকোনো বিশ্বাস যা প্রতিষ্ঠিত বিশ্বাসের তীব্র বিরোধী")</f>
        <v>যেকোনো বিশ্বাস যা প্রতিষ্ঠিত বিশ্বাসের তীব্র বিরোধী</v>
      </c>
      <c r="D418" s="8" t="s">
        <v>1244</v>
      </c>
    </row>
    <row r="419">
      <c r="A419" s="5" t="s">
        <v>1245</v>
      </c>
      <c r="B419" s="6" t="s">
        <v>1246</v>
      </c>
      <c r="C419" s="7" t="str">
        <f>IFERROR(__xludf.DUMMYFUNCTION("GOOGLETRANSLATE(B419, ""EN"", ""BN"")"),"বাহ্যিক প্রভাব দ্বারা প্রভাবিত হতে অক্ষম")</f>
        <v>বাহ্যিক প্রভাব দ্বারা প্রভাবিত হতে অক্ষম</v>
      </c>
      <c r="D419" s="8" t="s">
        <v>1247</v>
      </c>
    </row>
    <row r="420">
      <c r="A420" s="5" t="s">
        <v>1248</v>
      </c>
      <c r="B420" s="6" t="s">
        <v>1249</v>
      </c>
      <c r="C420" s="7" t="str">
        <f>IFERROR(__xludf.DUMMYFUNCTION("GOOGLETRANSLATE(B420, ""EN"", ""BN"")"),"স্বর্ণযুগ")</f>
        <v>স্বর্ণযুগ</v>
      </c>
      <c r="D420" s="8" t="s">
        <v>1250</v>
      </c>
    </row>
    <row r="421">
      <c r="A421" s="5" t="s">
        <v>1251</v>
      </c>
      <c r="B421" s="6" t="s">
        <v>1252</v>
      </c>
      <c r="C421" s="7" t="str">
        <f>IFERROR(__xludf.DUMMYFUNCTION("GOOGLETRANSLATE(B421, ""EN"", ""BN"")"),"কাজের মাঝে প্রায়শই হওয়া বিরতি বা বাধা")</f>
        <v>কাজের মাঝে প্রায়শই হওয়া বিরতি বা বাধা</v>
      </c>
      <c r="D421" s="8" t="s">
        <v>1253</v>
      </c>
    </row>
    <row r="422">
      <c r="A422" s="5" t="s">
        <v>1254</v>
      </c>
      <c r="B422" s="6" t="s">
        <v>1255</v>
      </c>
      <c r="C422" s="7" t="str">
        <f>IFERROR(__xludf.DUMMYFUNCTION("GOOGLETRANSLATE(B422, ""EN"", ""BN"")"),"পদমর্যাদা বা ডিগ্রির উপর ভিত্তি করে একটি সংগঠন")</f>
        <v>পদমর্যাদা বা ডিগ্রির উপর ভিত্তি করে একটি সংগঠন</v>
      </c>
      <c r="D422" s="8" t="s">
        <v>1256</v>
      </c>
    </row>
    <row r="423">
      <c r="A423" s="5" t="s">
        <v>1257</v>
      </c>
      <c r="B423" s="6" t="s">
        <v>1258</v>
      </c>
      <c r="C423" s="7" t="str">
        <f>IFERROR(__xludf.DUMMYFUNCTION("GOOGLETRANSLATE(B423, ""EN"", ""BN"")"),"অতিরিক্ত নাটকীয়")</f>
        <v>অতিরিক্ত নাটকীয়</v>
      </c>
      <c r="D423" s="8" t="s">
        <v>1259</v>
      </c>
    </row>
    <row r="424">
      <c r="A424" s="5" t="s">
        <v>1260</v>
      </c>
      <c r="B424" s="6" t="s">
        <v>1261</v>
      </c>
      <c r="C424" s="7" t="str">
        <f>IFERROR(__xludf.DUMMYFUNCTION("GOOGLETRANSLATE(B424, ""EN"", ""BN"")"),"একটি ধর্মোপদেশ")</f>
        <v>একটি ধর্মোপদেশ</v>
      </c>
      <c r="D424" s="8" t="s">
        <v>1262</v>
      </c>
    </row>
    <row r="425">
      <c r="A425" s="5" t="s">
        <v>1263</v>
      </c>
      <c r="B425" s="6" t="s">
        <v>1264</v>
      </c>
      <c r="C425" s="7" t="str">
        <f>IFERROR(__xludf.DUMMYFUNCTION("GOOGLETRANSLATE(B425, ""EN"", ""BN"")"),"সম্পূর্ণরূপে একটি জিনিস দিয়ে তৈরি")</f>
        <v>সম্পূর্ণরূপে একটি জিনিস দিয়ে তৈরি</v>
      </c>
      <c r="D425" s="8" t="s">
        <v>1265</v>
      </c>
    </row>
    <row r="426">
      <c r="A426" s="5" t="s">
        <v>1266</v>
      </c>
      <c r="B426" s="6" t="s">
        <v>1267</v>
      </c>
      <c r="C426" s="7" t="str">
        <f>IFERROR(__xludf.DUMMYFUNCTION("GOOGLETRANSLATE(B426, ""EN"", ""BN"")"),"সম্পদের মিতব্যয়ী ব্যবস্থাপনা")</f>
        <v>সম্পদের মিতব্যয়ী ব্যবস্থাপনা</v>
      </c>
      <c r="D426" s="8" t="s">
        <v>1268</v>
      </c>
    </row>
    <row r="427">
      <c r="A427" s="5" t="s">
        <v>1269</v>
      </c>
      <c r="B427" s="6" t="s">
        <v>1270</v>
      </c>
      <c r="C427" s="7" t="str">
        <f>IFERROR(__xludf.DUMMYFUNCTION("GOOGLETRANSLATE(B427, ""EN"", ""BN"")"),"অতিরঞ্জন")</f>
        <v>অতিরঞ্জন</v>
      </c>
      <c r="D427" s="8" t="s">
        <v>1271</v>
      </c>
    </row>
    <row r="428">
      <c r="A428" s="5" t="s">
        <v>1272</v>
      </c>
      <c r="B428" s="6" t="s">
        <v>936</v>
      </c>
      <c r="C428" s="7" t="str">
        <f>IFERROR(__xludf.DUMMYFUNCTION("GOOGLETRANSLATE(B428, ""EN"", ""BN"")"),"অনিশ্চিত")</f>
        <v>অনিশ্চিত</v>
      </c>
      <c r="D428" s="8" t="s">
        <v>1273</v>
      </c>
    </row>
    <row r="429">
      <c r="A429" s="5" t="s">
        <v>1274</v>
      </c>
      <c r="B429" s="6" t="s">
        <v>1275</v>
      </c>
      <c r="C429" s="7" t="str">
        <f>IFERROR(__xludf.DUMMYFUNCTION("GOOGLETRANSLATE(B429, ""EN"", ""BN"")"),"যে জনপ্রিয় বিশ্বাস বা প্রতিষ্ঠানকে আক্রমণ করে")</f>
        <v>যে জনপ্রিয় বিশ্বাস বা প্রতিষ্ঠানকে আক্রমণ করে</v>
      </c>
      <c r="D429" s="8" t="s">
        <v>1276</v>
      </c>
    </row>
    <row r="430">
      <c r="A430" s="5" t="s">
        <v>1277</v>
      </c>
      <c r="B430" s="6" t="s">
        <v>1278</v>
      </c>
      <c r="C430" s="7" t="str">
        <f>IFERROR(__xludf.DUMMYFUNCTION("GOOGLETRANSLATE(B430, ""EN"", ""BN"")"),"সামাজিক বা রাজনৈতিক ধারণার একটি ব্যবস্থা")</f>
        <v>সামাজিক বা রাজনৈতিক ধারণার একটি ব্যবস্থা</v>
      </c>
      <c r="D430" s="8" t="s">
        <v>1279</v>
      </c>
    </row>
    <row r="431">
      <c r="A431" s="5" t="s">
        <v>1280</v>
      </c>
      <c r="B431" s="6" t="s">
        <v>1281</v>
      </c>
      <c r="C431" s="7" t="str">
        <f>IFERROR(__xludf.DUMMYFUNCTION("GOOGLETRANSLATE(B431, ""EN"", ""BN"")"),"একটি উৎকেন্দ্রিকতা")</f>
        <v>একটি উৎকেন্দ্রিকতা</v>
      </c>
      <c r="D431" s="8" t="s">
        <v>1282</v>
      </c>
    </row>
    <row r="432">
      <c r="A432" s="5" t="s">
        <v>1283</v>
      </c>
      <c r="B432" s="6" t="s">
        <v>1284</v>
      </c>
      <c r="C432" s="7" t="str">
        <f>IFERROR(__xludf.DUMMYFUNCTION("GOOGLETRANSLATE(B432, ""EN"", ""BN"")"),"গ্রাম্য ধাঁচে আকর্ষণীয়")</f>
        <v>গ্রাম্য ধাঁচে আকর্ষণীয়</v>
      </c>
      <c r="D432" s="8" t="s">
        <v>1285</v>
      </c>
    </row>
    <row r="433">
      <c r="A433" s="5" t="s">
        <v>1286</v>
      </c>
      <c r="B433" s="6" t="s">
        <v>1287</v>
      </c>
      <c r="C433" s="7" t="str">
        <f>IFERROR(__xludf.DUMMYFUNCTION("GOOGLETRANSLATE(B433, ""EN"", ""BN"")"),"গভীর অপমান")</f>
        <v>গভীর অপমান</v>
      </c>
      <c r="D433" s="8" t="s">
        <v>1288</v>
      </c>
    </row>
    <row r="434">
      <c r="A434" s="5" t="s">
        <v>1289</v>
      </c>
      <c r="B434" s="6" t="s">
        <v>1290</v>
      </c>
      <c r="C434" s="7" t="str">
        <f>IFERROR(__xludf.DUMMYFUNCTION("GOOGLETRANSLATE(B434, ""EN"", ""BN"")"),"অবৈধ")</f>
        <v>অবৈধ</v>
      </c>
      <c r="D434" s="8" t="s">
        <v>1291</v>
      </c>
    </row>
    <row r="435">
      <c r="A435" s="5" t="s">
        <v>1292</v>
      </c>
      <c r="B435" s="6" t="s">
        <v>1293</v>
      </c>
      <c r="C435" s="7" t="str">
        <f>IFERROR(__xludf.DUMMYFUNCTION("GOOGLETRANSLATE(B435, ""EN"", ""BN"")"),"ঘটতে চলেছে")</f>
        <v>ঘটতে চলেছে</v>
      </c>
      <c r="D435" s="8" t="s">
        <v>1294</v>
      </c>
    </row>
    <row r="436">
      <c r="A436" s="5" t="s">
        <v>1295</v>
      </c>
      <c r="B436" s="6" t="s">
        <v>1296</v>
      </c>
      <c r="C436" s="7" t="str">
        <f>IFERROR(__xludf.DUMMYFUNCTION("GOOGLETRANSLATE(B436, ""EN"", ""BN"")"),"অপরিবর্তনীয়")</f>
        <v>অপরিবর্তনীয়</v>
      </c>
      <c r="D436" s="8" t="s">
        <v>1297</v>
      </c>
    </row>
    <row r="437">
      <c r="A437" s="5" t="s">
        <v>1298</v>
      </c>
      <c r="B437" s="6" t="s">
        <v>897</v>
      </c>
      <c r="C437" s="7" t="str">
        <f>IFERROR(__xludf.DUMMYFUNCTION("GOOGLETRANSLATE(B437, ""EN"", ""BN"")"),"নিরপেক্ষ")</f>
        <v>নিরপেক্ষ</v>
      </c>
      <c r="D437" s="8" t="s">
        <v>1299</v>
      </c>
    </row>
    <row r="438">
      <c r="A438" s="5" t="s">
        <v>1300</v>
      </c>
      <c r="B438" s="6" t="s">
        <v>1301</v>
      </c>
      <c r="C438" s="7" t="str">
        <f>IFERROR(__xludf.DUMMYFUNCTION("GOOGLETRANSLATE(B438, ""EN"", ""BN"")"),"ত্রুটিহীন")</f>
        <v>ত্রুটিহীন</v>
      </c>
      <c r="D438" s="8" t="s">
        <v>1302</v>
      </c>
    </row>
    <row r="439">
      <c r="A439" s="5" t="s">
        <v>1303</v>
      </c>
      <c r="B439" s="6" t="s">
        <v>1304</v>
      </c>
      <c r="C439" s="7" t="str">
        <f>IFERROR(__xludf.DUMMYFUNCTION("GOOGLETRANSLATE(B439, ""EN"", ""BN"")"),"সম্রাট বা সাম্রাজ্যের মতো")</f>
        <v>সম্রাট বা সাম্রাজ্যের মতো</v>
      </c>
      <c r="D439" s="8" t="s">
        <v>1305</v>
      </c>
    </row>
    <row r="440">
      <c r="A440" s="5" t="s">
        <v>1306</v>
      </c>
      <c r="B440" s="6" t="s">
        <v>1307</v>
      </c>
      <c r="C440" s="7" t="str">
        <f>IFERROR(__xludf.DUMMYFUNCTION("GOOGLETRANSLATE(B440, ""EN"", ""BN"")"),"দুর্ভেদ্য")</f>
        <v>দুর্ভেদ্য</v>
      </c>
      <c r="D440" s="8" t="s">
        <v>1308</v>
      </c>
    </row>
    <row r="441">
      <c r="A441" s="5" t="s">
        <v>1309</v>
      </c>
      <c r="B441" s="6" t="s">
        <v>1310</v>
      </c>
      <c r="C441" s="7" t="str">
        <f>IFERROR(__xludf.DUMMYFUNCTION("GOOGLETRANSLATE(B441, ""EN"", ""BN"")"),"অত্যন্ত অধৈর্য")</f>
        <v>অত্যন্ত অধৈর্য</v>
      </c>
      <c r="D441" s="8" t="s">
        <v>1311</v>
      </c>
    </row>
    <row r="442">
      <c r="A442" s="5" t="s">
        <v>1312</v>
      </c>
      <c r="B442" s="6" t="s">
        <v>1313</v>
      </c>
      <c r="C442" s="7" t="str">
        <f>IFERROR(__xludf.DUMMYFUNCTION("GOOGLETRANSLATE(B442, ""EN"", ""BN"")"),"সম্পাদন করতে")</f>
        <v>সম্পাদন করতে</v>
      </c>
      <c r="D442" s="8" t="s">
        <v>1314</v>
      </c>
    </row>
    <row r="443">
      <c r="A443" s="5" t="s">
        <v>1315</v>
      </c>
      <c r="B443" s="6" t="s">
        <v>1316</v>
      </c>
      <c r="C443" s="7" t="str">
        <f>IFERROR(__xludf.DUMMYFUNCTION("GOOGLETRANSLATE(B443, ""EN"", ""BN"")"),"ক্ষমতাহীন")</f>
        <v>ক্ষমতাহীন</v>
      </c>
      <c r="D443" s="8" t="s">
        <v>1317</v>
      </c>
    </row>
    <row r="444">
      <c r="A444" s="5" t="s">
        <v>1318</v>
      </c>
      <c r="B444" s="6" t="s">
        <v>1319</v>
      </c>
      <c r="C444" s="7" t="str">
        <f>IFERROR(__xludf.DUMMYFUNCTION("GOOGLETRANSLATE(B444, ""EN"", ""BN"")"),"আক্রমণ করা, বিশেষত কোনো কিছুর সত্যতা বা অখণ্ডতাকে আক্রমণ করা।")</f>
        <v>আক্রমণ করা, বিশেষত কোনো কিছুর সত্যতা বা অখণ্ডতাকে আক্রমণ করা।</v>
      </c>
      <c r="D444" s="8" t="s">
        <v>1320</v>
      </c>
    </row>
    <row r="445">
      <c r="A445" s="5" t="s">
        <v>1321</v>
      </c>
      <c r="B445" s="6" t="s">
        <v>1322</v>
      </c>
      <c r="C445" s="7" t="str">
        <f>IFERROR(__xludf.DUMMYFUNCTION("GOOGLETRANSLATE(B445, ""EN"", ""BN"")"),"বোকা")</f>
        <v>বোকা</v>
      </c>
      <c r="D445" s="8" t="s">
        <v>1323</v>
      </c>
    </row>
    <row r="446">
      <c r="A446" s="5" t="s">
        <v>1324</v>
      </c>
      <c r="B446" s="6" t="s">
        <v>1325</v>
      </c>
      <c r="C446" s="7" t="str">
        <f>IFERROR(__xludf.DUMMYFUNCTION("GOOGLETRANSLATE(B446, ""EN"", ""BN"")"),"আনুষ্ঠানিকভাবে পদে অধিষ্ঠিত করা")</f>
        <v>আনুষ্ঠানিকভাবে পদে অধিষ্ঠিত করা</v>
      </c>
      <c r="D446" s="8" t="s">
        <v>1326</v>
      </c>
    </row>
    <row r="447">
      <c r="A447" s="5" t="s">
        <v>1327</v>
      </c>
      <c r="B447" s="6" t="s">
        <v>1328</v>
      </c>
      <c r="C447" s="7" t="str">
        <f>IFERROR(__xludf.DUMMYFUNCTION("GOOGLETRANSLATE(B447, ""EN"", ""BN"")"),"চমৎকার")</f>
        <v>চমৎকার</v>
      </c>
      <c r="D447" s="8" t="s">
        <v>1329</v>
      </c>
    </row>
    <row r="448">
      <c r="A448" s="5" t="s">
        <v>1330</v>
      </c>
      <c r="B448" s="6" t="s">
        <v>1331</v>
      </c>
      <c r="C448" s="7" t="str">
        <f>IFERROR(__xludf.DUMMYFUNCTION("GOOGLETRANSLATE(B448, ""EN"", ""BN"")"),"একটি স্লোগান")</f>
        <v>একটি স্লোগান</v>
      </c>
      <c r="D448" s="8" t="s">
        <v>1332</v>
      </c>
    </row>
    <row r="449">
      <c r="A449" s="5" t="s">
        <v>1333</v>
      </c>
      <c r="B449" s="6" t="s">
        <v>1334</v>
      </c>
      <c r="C449" s="7" t="str">
        <f>IFERROR(__xludf.DUMMYFUNCTION("GOOGLETRANSLATE(B449, ""EN"", ""BN"")"),"খুব রাগিয়ে দেওয়া")</f>
        <v>খুব রাগিয়ে দেওয়া</v>
      </c>
      <c r="D449" s="8" t="s">
        <v>1335</v>
      </c>
    </row>
    <row r="450">
      <c r="A450" s="5" t="s">
        <v>1336</v>
      </c>
      <c r="B450" s="6" t="s">
        <v>1337</v>
      </c>
      <c r="C450" s="7" t="str">
        <f>IFERROR(__xludf.DUMMYFUNCTION("GOOGLETRANSLATE(B450, ""EN"", ""BN"")"),"অবিরাম")</f>
        <v>অবিরাম</v>
      </c>
      <c r="D450" s="8" t="s">
        <v>1338</v>
      </c>
    </row>
    <row r="451">
      <c r="A451" s="5" t="s">
        <v>1339</v>
      </c>
      <c r="B451" s="6" t="s">
        <v>1340</v>
      </c>
      <c r="C451" s="7" t="str">
        <f>IFERROR(__xludf.DUMMYFUNCTION("GOOGLETRANSLATE(B451, ""EN"", ""BN"")"),"উদীয়মান")</f>
        <v>উদীয়মান</v>
      </c>
      <c r="D451" s="8" t="s">
        <v>1341</v>
      </c>
    </row>
    <row r="452">
      <c r="A452" s="5" t="s">
        <v>1342</v>
      </c>
      <c r="B452" s="6" t="s">
        <v>1343</v>
      </c>
      <c r="C452" s="7" t="str">
        <f>IFERROR(__xludf.DUMMYFUNCTION("GOOGLETRANSLATE(B452, ""EN"", ""BN"")"),"সরাসরি মূল বিষয়ে আসা যাক")</f>
        <v>সরাসরি মূল বিষয়ে আসা যাক</v>
      </c>
      <c r="D452" s="8" t="s">
        <v>1344</v>
      </c>
    </row>
    <row r="453">
      <c r="A453" s="5" t="s">
        <v>1345</v>
      </c>
      <c r="B453" s="6" t="s">
        <v>1346</v>
      </c>
      <c r="C453" s="7" t="str">
        <f>IFERROR(__xludf.DUMMYFUNCTION("GOOGLETRANSLATE(B453, ""EN"", ""BN"")"),"সামঞ্জস্যপূর্ণ নয়")</f>
        <v>সামঞ্জস্যপূর্ণ নয়</v>
      </c>
      <c r="D453" s="8" t="s">
        <v>1347</v>
      </c>
    </row>
    <row r="454">
      <c r="A454" s="5" t="s">
        <v>1348</v>
      </c>
      <c r="B454" s="6" t="s">
        <v>1349</v>
      </c>
      <c r="C454" s="7" t="str">
        <f>IFERROR(__xludf.DUMMYFUNCTION("GOOGLETRANSLATE(B454, ""EN"", ""BN"")"),"সংশোধনের অযোগ্য")</f>
        <v>সংশোধনের অযোগ্য</v>
      </c>
      <c r="D454" s="8" t="s">
        <v>1350</v>
      </c>
    </row>
    <row r="455">
      <c r="A455" s="5" t="s">
        <v>1351</v>
      </c>
      <c r="B455" s="6" t="s">
        <v>1352</v>
      </c>
      <c r="C455" s="7" t="str">
        <f>IFERROR(__xludf.DUMMYFUNCTION("GOOGLETRANSLATE(B455, ""EN"", ""BN"")"),"ধারাবাহিক বৃদ্ধির মধ্যে একটি")</f>
        <v>ধারাবাহিক বৃদ্ধির মধ্যে একটি</v>
      </c>
      <c r="D455" s="8" t="s">
        <v>1353</v>
      </c>
    </row>
    <row r="456">
      <c r="A456" s="5" t="s">
        <v>1354</v>
      </c>
      <c r="B456" s="6" t="s">
        <v>1355</v>
      </c>
      <c r="C456" s="7" t="str">
        <f>IFERROR(__xludf.DUMMYFUNCTION("GOOGLETRANSLATE(B456, ""EN"", ""BN"")"),"কোনো দিকেই পরোয়া না করে")</f>
        <v>কোনো দিকেই পরোয়া না করে</v>
      </c>
      <c r="D456" s="8" t="s">
        <v>1356</v>
      </c>
    </row>
    <row r="457">
      <c r="A457" s="5" t="s">
        <v>1357</v>
      </c>
      <c r="B457" s="6" t="s">
        <v>41</v>
      </c>
      <c r="C457" s="7" t="str">
        <f>IFERROR(__xludf.DUMMYFUNCTION("GOOGLETRANSLATE(B457, ""EN"", ""BN"")"),"স্থানীয়")</f>
        <v>স্থানীয়</v>
      </c>
      <c r="D457" s="8" t="s">
        <v>1358</v>
      </c>
    </row>
    <row r="458">
      <c r="A458" s="5" t="s">
        <v>1359</v>
      </c>
      <c r="B458" s="6" t="s">
        <v>1360</v>
      </c>
      <c r="C458" s="7" t="str">
        <f>IFERROR(__xludf.DUMMYFUNCTION("GOOGLETRANSLATE(B458, ""EN"", ""BN"")"),"দরিদ্র")</f>
        <v>দরিদ্র</v>
      </c>
      <c r="D458" s="8" t="s">
        <v>1361</v>
      </c>
    </row>
    <row r="459">
      <c r="A459" s="5" t="s">
        <v>1362</v>
      </c>
      <c r="B459" s="6" t="s">
        <v>1363</v>
      </c>
      <c r="C459" s="7" t="str">
        <f>IFERROR(__xludf.DUMMYFUNCTION("GOOGLETRANSLATE(B459, ""EN"", ""BN"")"),"ক্রুদ্ধ, বিশেষত কোনো অন্যায় বা অযোগ্য বিষয়ের ফলে")</f>
        <v>ক্রুদ্ধ, বিশেষত কোনো অন্যায় বা অযোগ্য বিষয়ের ফলে</v>
      </c>
      <c r="D459" s="8" t="s">
        <v>1364</v>
      </c>
    </row>
    <row r="460">
      <c r="A460" s="5" t="s">
        <v>1365</v>
      </c>
      <c r="B460" s="6" t="s">
        <v>1366</v>
      </c>
      <c r="C460" s="7" t="str">
        <f>IFERROR(__xludf.DUMMYFUNCTION("GOOGLETRANSLATE(B460, ""EN"", ""BN"")"),"অলস")</f>
        <v>অলস</v>
      </c>
      <c r="D460" s="8" t="s">
        <v>1367</v>
      </c>
    </row>
    <row r="461">
      <c r="A461" s="5" t="s">
        <v>1368</v>
      </c>
      <c r="B461" s="6" t="s">
        <v>1369</v>
      </c>
      <c r="C461" s="7" t="str">
        <f>IFERROR(__xludf.DUMMYFUNCTION("GOOGLETRANSLATE(B461, ""EN"", ""BN"")"),"ইচ্ছার কাছে নতি স্বীকার করা")</f>
        <v>ইচ্ছার কাছে নতি স্বীকার করা</v>
      </c>
      <c r="D461" s="8" t="s">
        <v>1370</v>
      </c>
    </row>
    <row r="462">
      <c r="A462" s="5" t="s">
        <v>1371</v>
      </c>
      <c r="B462" s="6" t="s">
        <v>1372</v>
      </c>
      <c r="C462" s="7" t="str">
        <f>IFERROR(__xludf.DUMMYFUNCTION("GOOGLETRANSLATE(B462, ""EN"", ""BN"")"),"প্রকাশ বা বর্ণনা করা অসম্ভব")</f>
        <v>প্রকাশ বা বর্ণনা করা অসম্ভব</v>
      </c>
      <c r="D462" s="8" t="s">
        <v>1373</v>
      </c>
    </row>
    <row r="463">
      <c r="A463" s="5" t="s">
        <v>1374</v>
      </c>
      <c r="B463" s="6" t="s">
        <v>1375</v>
      </c>
      <c r="C463" s="7" t="str">
        <f>IFERROR(__xludf.DUMMYFUNCTION("GOOGLETRANSLATE(B463, ""EN"", ""BN"")"),"আনাড়ি")</f>
        <v>আনাড়ি</v>
      </c>
      <c r="D463" s="8" t="s">
        <v>1376</v>
      </c>
    </row>
    <row r="464">
      <c r="A464" s="5" t="s">
        <v>1377</v>
      </c>
      <c r="B464" s="6" t="s">
        <v>933</v>
      </c>
      <c r="C464" s="7" t="str">
        <f>IFERROR(__xludf.DUMMYFUNCTION("GOOGLETRANSLATE(B464, ""EN"", ""BN"")"),"নিষ্ক্রিয়")</f>
        <v>নিষ্ক্রিয়</v>
      </c>
      <c r="D464" s="8" t="s">
        <v>1378</v>
      </c>
    </row>
    <row r="465">
      <c r="A465" s="5" t="s">
        <v>1379</v>
      </c>
      <c r="B465" s="6" t="s">
        <v>1380</v>
      </c>
      <c r="C465" s="7" t="str">
        <f>IFERROR(__xludf.DUMMYFUNCTION("GOOGLETRANSLATE(B465, ""EN"", ""BN"")"),"অনিবার্য")</f>
        <v>অনিবার্য</v>
      </c>
      <c r="D465" s="8" t="s">
        <v>1381</v>
      </c>
    </row>
    <row r="466">
      <c r="A466" s="5" t="s">
        <v>1382</v>
      </c>
      <c r="B466" s="6" t="s">
        <v>1383</v>
      </c>
      <c r="C466" s="7" t="str">
        <f>IFERROR(__xludf.DUMMYFUNCTION("GOOGLETRANSLATE(B466, ""EN"", ""BN"")"),"অত্যন্ত খারাপ খ্যাতি থাকা")</f>
        <v>অত্যন্ত খারাপ খ্যাতি থাকা</v>
      </c>
      <c r="D466" s="8" t="s">
        <v>1384</v>
      </c>
    </row>
    <row r="467">
      <c r="A467" s="5" t="s">
        <v>1385</v>
      </c>
      <c r="B467" s="6" t="s">
        <v>1386</v>
      </c>
      <c r="C467" s="7" t="str">
        <f>IFERROR(__xludf.DUMMYFUNCTION("GOOGLETRANSLATE(B467, ""EN"", ""BN"")"),"নির্বোধের মতো আবেগপ্রবণ বা আকৃষ্ট")</f>
        <v>নির্বোধের মতো আবেগপ্রবণ বা আকৃষ্ট</v>
      </c>
      <c r="D467" s="8" t="s">
        <v>1387</v>
      </c>
    </row>
    <row r="468">
      <c r="A468" s="5" t="s">
        <v>1388</v>
      </c>
      <c r="B468" s="6" t="s">
        <v>1389</v>
      </c>
      <c r="C468" s="7" t="str">
        <f>IFERROR(__xludf.DUMMYFUNCTION("GOOGLETRANSLATE(B468, ""EN"", ""BN"")"),"উপসংহারে")</f>
        <v>উপসংহারে</v>
      </c>
      <c r="D468" s="8" t="s">
        <v>1390</v>
      </c>
    </row>
    <row r="469">
      <c r="A469" s="5" t="s">
        <v>1391</v>
      </c>
      <c r="B469" s="6" t="s">
        <v>1392</v>
      </c>
      <c r="C469" s="7" t="str">
        <f>IFERROR(__xludf.DUMMYFUNCTION("GOOGLETRANSLATE(B469, ""EN"", ""BN"")"),"খুব খুব ছোট")</f>
        <v>খুব খুব ছোট</v>
      </c>
      <c r="D469" s="8" t="s">
        <v>1393</v>
      </c>
    </row>
    <row r="470">
      <c r="A470" s="5" t="s">
        <v>1394</v>
      </c>
      <c r="B470" s="6" t="s">
        <v>1395</v>
      </c>
      <c r="C470" s="7" t="str">
        <f>IFERROR(__xludf.DUMMYFUNCTION("GOOGLETRANSLATE(B470, ""EN"", ""BN"")"),"মনোহরভাবে সরল")</f>
        <v>মনোহরভাবে সরল</v>
      </c>
      <c r="D470" s="8" t="s">
        <v>1396</v>
      </c>
    </row>
    <row r="471">
      <c r="A471" s="5" t="s">
        <v>1397</v>
      </c>
      <c r="B471" s="6" t="s">
        <v>1398</v>
      </c>
      <c r="C471" s="7" t="str">
        <f>IFERROR(__xludf.DUMMYFUNCTION("GOOGLETRANSLATE(B471, ""EN"", ""BN"")"),"কোনো কিছুর অপরিহার্য প্রকৃতির অংশ")</f>
        <v>কোনো কিছুর অপরিহার্য প্রকৃতির অংশ</v>
      </c>
      <c r="D471" s="8" t="s">
        <v>1399</v>
      </c>
    </row>
    <row r="472">
      <c r="A472" s="5" t="s">
        <v>1400</v>
      </c>
      <c r="B472" s="6" t="s">
        <v>1401</v>
      </c>
      <c r="C472" s="7" t="str">
        <f>IFERROR(__xludf.DUMMYFUNCTION("GOOGLETRANSLATE(B472, ""EN"", ""BN"")"),"আদেশ বা নির্দেশ, বিশেষত আদালতের আদেশ")</f>
        <v>আদেশ বা নির্দেশ, বিশেষত আদালতের আদেশ</v>
      </c>
      <c r="D472" s="8" t="s">
        <v>1402</v>
      </c>
    </row>
    <row r="473">
      <c r="A473" s="5" t="s">
        <v>1403</v>
      </c>
      <c r="B473" s="6" t="s">
        <v>1404</v>
      </c>
      <c r="C473" s="7" t="str">
        <f>IFERROR(__xludf.DUMMYFUNCTION("GOOGLETRANSLATE(B473, ""EN"", ""BN"")"),"জন্ম থেকে বিদ্যমান")</f>
        <v>জন্ম থেকে বিদ্যমান</v>
      </c>
      <c r="D473" s="8" t="s">
        <v>1405</v>
      </c>
    </row>
    <row r="474">
      <c r="A474" s="5" t="s">
        <v>1406</v>
      </c>
      <c r="B474" s="6" t="s">
        <v>1407</v>
      </c>
      <c r="C474" s="7" t="str">
        <f>IFERROR(__xludf.DUMMYFUNCTION("GOOGLETRANSLATE(B474, ""EN"", ""BN"")"),"নিরীহ; মামুলি")</f>
        <v>নিরীহ; মামুলি</v>
      </c>
      <c r="D474" s="8" t="s">
        <v>1408</v>
      </c>
    </row>
    <row r="475">
      <c r="A475" s="5" t="s">
        <v>1409</v>
      </c>
      <c r="B475" s="6" t="s">
        <v>1410</v>
      </c>
      <c r="C475" s="7" t="str">
        <f>IFERROR(__xludf.DUMMYFUNCTION("GOOGLETRANSLATE(B475, ""EN"", ""BN"")"),"অতিরিক্ত; অযৌক্তিক")</f>
        <v>অতিরিক্ত; অযৌক্তিক</v>
      </c>
      <c r="D475" s="8" t="s">
        <v>1411</v>
      </c>
    </row>
    <row r="476">
      <c r="A476" s="5" t="s">
        <v>1412</v>
      </c>
      <c r="B476" s="6" t="s">
        <v>1413</v>
      </c>
      <c r="C476" s="7" t="str">
        <f>IFERROR(__xludf.DUMMYFUNCTION("GOOGLETRANSLATE(B476, ""EN"", ""BN"")"),"সন্তুষ্ট করা অসম্ভব")</f>
        <v>সন্তুষ্ট করা অসম্ভব</v>
      </c>
      <c r="D476" s="8" t="s">
        <v>1414</v>
      </c>
    </row>
    <row r="477">
      <c r="A477" s="5" t="s">
        <v>1415</v>
      </c>
      <c r="B477" s="6" t="s">
        <v>1416</v>
      </c>
      <c r="C477" s="7" t="str">
        <f>IFERROR(__xludf.DUMMYFUNCTION("GOOGLETRANSLATE(B477, ""EN"", ""BN"")"),"চতুর")</f>
        <v>চতুর</v>
      </c>
      <c r="D477" s="8" t="s">
        <v>1417</v>
      </c>
    </row>
    <row r="478">
      <c r="A478" s="5" t="s">
        <v>1418</v>
      </c>
      <c r="B478" s="6" t="s">
        <v>1419</v>
      </c>
      <c r="C478" s="7" t="str">
        <f>IFERROR(__xludf.DUMMYFUNCTION("GOOGLETRANSLATE(B478, ""EN"", ""BN"")"),"ইঙ্গিত করতে")</f>
        <v>ইঙ্গিত করতে</v>
      </c>
      <c r="D478" s="8" t="s">
        <v>1420</v>
      </c>
    </row>
    <row r="479">
      <c r="A479" s="5" t="s">
        <v>1421</v>
      </c>
      <c r="B479" s="6" t="s">
        <v>1422</v>
      </c>
      <c r="C479" s="7" t="str">
        <f>IFERROR(__xludf.DUMMYFUNCTION("GOOGLETRANSLATE(B479, ""EN"", ""BN"")"),"নিস্তেজ")</f>
        <v>নিস্তেজ</v>
      </c>
      <c r="D479" s="8" t="s">
        <v>1423</v>
      </c>
    </row>
    <row r="480">
      <c r="A480" s="5" t="s">
        <v>1424</v>
      </c>
      <c r="B480" s="6" t="s">
        <v>1425</v>
      </c>
      <c r="C480" s="7" t="str">
        <f>IFERROR(__xludf.DUMMYFUNCTION("GOOGLETRANSLATE(B480, ""EN"", ""BN"")"),"অহংকারী")</f>
        <v>অহংকারী</v>
      </c>
      <c r="D480" s="8" t="s">
        <v>1426</v>
      </c>
    </row>
    <row r="481">
      <c r="A481" s="5" t="s">
        <v>1427</v>
      </c>
      <c r="B481" s="6" t="s">
        <v>1428</v>
      </c>
      <c r="C481" s="7" t="str">
        <f>IFERROR(__xludf.DUMMYFUNCTION("GOOGLETRANSLATE(B481, ""EN"", ""BN"")"),"উস্কানি দিতে")</f>
        <v>উস্কানি দিতে</v>
      </c>
      <c r="D481" s="8" t="s">
        <v>1429</v>
      </c>
    </row>
    <row r="482">
      <c r="A482" s="5" t="s">
        <v>1430</v>
      </c>
      <c r="B482" s="6" t="s">
        <v>1431</v>
      </c>
      <c r="C482" s="7" t="str">
        <f>IFERROR(__xludf.DUMMYFUNCTION("GOOGLETRANSLATE(B482, ""EN"", ""BN"")"),"বিচ্ছিন্ন")</f>
        <v>বিচ্ছিন্ন</v>
      </c>
      <c r="D482" s="8" t="s">
        <v>1432</v>
      </c>
    </row>
    <row r="483">
      <c r="A483" s="5" t="s">
        <v>1433</v>
      </c>
      <c r="B483" s="6" t="s">
        <v>1434</v>
      </c>
      <c r="C483" s="7" t="str">
        <f>IFERROR(__xludf.DUMMYFUNCTION("GOOGLETRANSLATE(B483, ""EN"", ""BN"")"),"সরকারের বিরুদ্ধে একজন বিদ্রোহী")</f>
        <v>সরকারের বিরুদ্ধে একজন বিদ্রোহী</v>
      </c>
      <c r="D483" s="8" t="s">
        <v>1435</v>
      </c>
    </row>
    <row r="484">
      <c r="A484" s="5" t="s">
        <v>1436</v>
      </c>
      <c r="B484" s="6" t="s">
        <v>1437</v>
      </c>
      <c r="C484" s="7" t="str">
        <f>IFERROR(__xludf.DUMMYFUNCTION("GOOGLETRANSLATE(B484, ""EN"", ""BN"")"),"অপরিহার্য")</f>
        <v>অপরিহার্য</v>
      </c>
      <c r="D484" s="8" t="s">
        <v>1438</v>
      </c>
    </row>
    <row r="485">
      <c r="A485" s="5" t="s">
        <v>1439</v>
      </c>
      <c r="B485" s="6" t="s">
        <v>1440</v>
      </c>
      <c r="C485" s="7" t="str">
        <f>IFERROR(__xludf.DUMMYFUNCTION("GOOGLETRANSLATE(B485, ""EN"", ""BN"")"),"অবাধ্য")</f>
        <v>অবাধ্য</v>
      </c>
      <c r="D485" s="8" t="s">
        <v>1441</v>
      </c>
    </row>
    <row r="486">
      <c r="A486" s="5" t="s">
        <v>1442</v>
      </c>
      <c r="B486" s="6" t="s">
        <v>134</v>
      </c>
      <c r="C486" s="7" t="str">
        <f>IFERROR(__xludf.DUMMYFUNCTION("GOOGLETRANSLATE(B486, ""EN"", ""BN"")"),"একগুঁয়ে")</f>
        <v>একগুঁয়ে</v>
      </c>
      <c r="D486" s="8" t="s">
        <v>1443</v>
      </c>
    </row>
    <row r="487">
      <c r="A487" s="5" t="s">
        <v>1444</v>
      </c>
      <c r="B487" s="6" t="s">
        <v>1445</v>
      </c>
      <c r="C487" s="7" t="str">
        <f>IFERROR(__xludf.DUMMYFUNCTION("GOOGLETRANSLATE(B487, ""EN"", ""BN"")"),"সহজাত")</f>
        <v>সহজাত</v>
      </c>
      <c r="D487" s="8" t="s">
        <v>1446</v>
      </c>
    </row>
    <row r="488">
      <c r="A488" s="5" t="s">
        <v>1447</v>
      </c>
      <c r="B488" s="6" t="s">
        <v>1448</v>
      </c>
      <c r="C488" s="7" t="str">
        <f>IFERROR(__xludf.DUMMYFUNCTION("GOOGLETRANSLATE(B488, ""EN"", ""BN"")"),"নিজের সম্পর্কে চিন্তা করার প্রবণতা")</f>
        <v>নিজের সম্পর্কে চিন্তা করার প্রবণতা</v>
      </c>
      <c r="D488" s="8" t="s">
        <v>1449</v>
      </c>
    </row>
    <row r="489">
      <c r="A489" s="5" t="s">
        <v>1450</v>
      </c>
      <c r="B489" s="6" t="s">
        <v>1451</v>
      </c>
      <c r="C489" s="7" t="str">
        <f>IFERROR(__xludf.DUMMYFUNCTION("GOOGLETRANSLATE(B489, ""EN"", ""BN"")"),"প্লাবিত করতে")</f>
        <v>প্লাবিত করতে</v>
      </c>
      <c r="D489" s="8" t="s">
        <v>1452</v>
      </c>
    </row>
    <row r="490">
      <c r="A490" s="5" t="s">
        <v>1453</v>
      </c>
      <c r="B490" s="6" t="s">
        <v>1454</v>
      </c>
      <c r="C490" s="7" t="str">
        <f>IFERROR(__xludf.DUMMYFUNCTION("GOOGLETRANSLATE(B490, ""EN"", ""BN"")"),"অপমানজনক বা আপত্তিকর বক্তব্য")</f>
        <v>অপমানজনক বা আপত্তিকর বক্তব্য</v>
      </c>
      <c r="D490" s="8" t="s">
        <v>1455</v>
      </c>
    </row>
    <row r="491">
      <c r="A491" s="5" t="s">
        <v>1456</v>
      </c>
      <c r="B491" s="6" t="s">
        <v>1457</v>
      </c>
      <c r="C491" s="7" t="str">
        <f>IFERROR(__xludf.DUMMYFUNCTION("GOOGLETRANSLATE(B491, ""EN"", ""BN"")"),"অভ্যাসগত")</f>
        <v>অভ্যাসগত</v>
      </c>
      <c r="D491" s="8" t="s">
        <v>1458</v>
      </c>
    </row>
    <row r="492">
      <c r="A492" s="5" t="s">
        <v>1459</v>
      </c>
      <c r="B492" s="6" t="s">
        <v>1460</v>
      </c>
      <c r="C492" s="7" t="str">
        <f>IFERROR(__xludf.DUMMYFUNCTION("GOOGLETRANSLATE(B492, ""EN"", ""BN"")"),"সহজে রেগে যাওয়া বা উত্তেজিত হওয়া")</f>
        <v>সহজে রেগে যাওয়া বা উত্তেজিত হওয়া</v>
      </c>
      <c r="D492" s="8" t="s">
        <v>1461</v>
      </c>
    </row>
    <row r="493">
      <c r="A493" s="5" t="s">
        <v>1462</v>
      </c>
      <c r="B493" s="6" t="s">
        <v>1463</v>
      </c>
      <c r="C493" s="7" t="str">
        <f>IFERROR(__xludf.DUMMYFUNCTION("GOOGLETRANSLATE(B493, ""EN"", ""BN"")"),"আপনি যা বলতে চাইছেন বলে মনে হচ্ছে, তার বিপরীত অর্থ।")</f>
        <v>আপনি যা বলতে চাইছেন বলে মনে হচ্ছে, তার বিপরীত অর্থ।</v>
      </c>
      <c r="D493" s="8" t="s">
        <v>1464</v>
      </c>
    </row>
    <row r="494">
      <c r="A494" s="5" t="s">
        <v>1465</v>
      </c>
      <c r="B494" s="6" t="s">
        <v>1466</v>
      </c>
      <c r="C494" s="7" t="str">
        <f>IFERROR(__xludf.DUMMYFUNCTION("GOOGLETRANSLATE(B494, ""EN"", ""BN"")"),"অপরিবর্তনীয়")</f>
        <v>অপরিবর্তনীয়</v>
      </c>
      <c r="D494" s="8" t="s">
        <v>1467</v>
      </c>
    </row>
    <row r="495">
      <c r="A495" s="5" t="s">
        <v>1468</v>
      </c>
      <c r="B495" s="6" t="s">
        <v>1469</v>
      </c>
      <c r="C495" s="7" t="str">
        <f>IFERROR(__xludf.DUMMYFUNCTION("GOOGLETRANSLATE(B495, ""EN"", ""BN"")"),"এক জায়গা থেকে অন্য জায়গায় যাওয়া")</f>
        <v>এক জায়গা থেকে অন্য জায়গায় যাওয়া</v>
      </c>
      <c r="D495" s="8" t="s">
        <v>1470</v>
      </c>
    </row>
    <row r="496">
      <c r="A496" s="5" t="s">
        <v>1471</v>
      </c>
      <c r="B496" s="6" t="s">
        <v>1472</v>
      </c>
      <c r="C496" s="7" t="str">
        <f>IFERROR(__xludf.DUMMYFUNCTION("GOOGLETRANSLATE(B496, ""EN"", ""BN"")"),"সঠিক বিচারবুদ্ধি প্রয়োগ করা")</f>
        <v>সঠিক বিচারবুদ্ধি প্রয়োগ করা</v>
      </c>
      <c r="D496" s="8" t="s">
        <v>1473</v>
      </c>
    </row>
    <row r="497">
      <c r="A497" s="5" t="s">
        <v>1474</v>
      </c>
      <c r="B497" s="6" t="s">
        <v>1475</v>
      </c>
      <c r="C497" s="7" t="str">
        <f>IFERROR(__xludf.DUMMYFUNCTION("GOOGLETRANSLATE(B497, ""EN"", ""BN"")"),"পাশাপাশি রাখতে")</f>
        <v>পাশাপাশি রাখতে</v>
      </c>
      <c r="D497" s="8" t="s">
        <v>1476</v>
      </c>
    </row>
    <row r="498">
      <c r="A498" s="5" t="s">
        <v>1477</v>
      </c>
      <c r="B498" s="6" t="s">
        <v>1478</v>
      </c>
      <c r="C498" s="7" t="str">
        <f>IFERROR(__xludf.DUMMYFUNCTION("GOOGLETRANSLATE(B498, ""EN"", ""BN"")"),"গতির সাথে সম্পর্কিত")</f>
        <v>গতির সাথে সম্পর্কিত</v>
      </c>
      <c r="D498" s="8" t="s">
        <v>1479</v>
      </c>
    </row>
    <row r="499">
      <c r="A499" s="5" t="s">
        <v>1480</v>
      </c>
      <c r="B499" s="6" t="s">
        <v>1481</v>
      </c>
      <c r="C499" s="7" t="str">
        <f>IFERROR(__xludf.DUMMYFUNCTION("GOOGLETRANSLATE(B499, ""EN"", ""BN"")"),"একটি গোলকধাঁধা")</f>
        <v>একটি গোলকধাঁধা</v>
      </c>
      <c r="D499" s="8" t="s">
        <v>1482</v>
      </c>
    </row>
    <row r="500">
      <c r="A500" s="5" t="s">
        <v>1483</v>
      </c>
      <c r="B500" s="6" t="s">
        <v>1484</v>
      </c>
      <c r="C500" s="7" t="str">
        <f>IFERROR(__xludf.DUMMYFUNCTION("GOOGLETRANSLATE(B500, ""EN"", ""BN"")"),"অল্প কথায়, বিশেষ করে অভদ্র শোনানোর পর্যায়ে")</f>
        <v>অল্প কথায়, বিশেষ করে অভদ্র শোনানোর পর্যায়ে</v>
      </c>
      <c r="D500" s="8" t="s">
        <v>1485</v>
      </c>
    </row>
    <row r="501">
      <c r="A501" s="5" t="s">
        <v>1486</v>
      </c>
      <c r="B501" s="6" t="s">
        <v>1487</v>
      </c>
      <c r="C501" s="7" t="str">
        <f>IFERROR(__xludf.DUMMYFUNCTION("GOOGLETRANSLATE(B501, ""EN"", ""BN"")"),"শোক করতে")</f>
        <v>শোক করতে</v>
      </c>
      <c r="D501" s="8" t="s">
        <v>1488</v>
      </c>
    </row>
    <row r="502">
      <c r="A502" s="5" t="s">
        <v>1489</v>
      </c>
      <c r="B502" s="6" t="s">
        <v>1490</v>
      </c>
      <c r="C502" s="7" t="str">
        <f>IFERROR(__xludf.DUMMYFUNCTION("GOOGLETRANSLATE(B502, ""EN"", ""BN"")"),"উপহাস করতে")</f>
        <v>উপহাস করতে</v>
      </c>
      <c r="D502" s="8" t="s">
        <v>1491</v>
      </c>
    </row>
    <row r="503">
      <c r="A503" s="5" t="s">
        <v>1492</v>
      </c>
      <c r="B503" s="6" t="s">
        <v>1493</v>
      </c>
      <c r="C503" s="7" t="str">
        <f>IFERROR(__xludf.DUMMYFUNCTION("GOOGLETRANSLATE(B503, ""EN"", ""BN"")"),"দুর্বল বা হতাশ হয়ে পড়া")</f>
        <v>দুর্বল বা হতাশ হয়ে পড়া</v>
      </c>
      <c r="D503" s="8" t="s">
        <v>1494</v>
      </c>
    </row>
    <row r="504">
      <c r="A504" s="5" t="s">
        <v>1495</v>
      </c>
      <c r="B504" s="6" t="s">
        <v>1496</v>
      </c>
      <c r="C504" s="7" t="str">
        <f>IFERROR(__xludf.DUMMYFUNCTION("GOOGLETRANSLATE(B504, ""EN"", ""BN"")"),"উদারতা")</f>
        <v>উদারতা</v>
      </c>
      <c r="D504" s="8" t="s">
        <v>1497</v>
      </c>
    </row>
    <row r="505">
      <c r="A505" s="5" t="s">
        <v>1498</v>
      </c>
      <c r="B505" s="6" t="s">
        <v>1499</v>
      </c>
      <c r="C505" s="7" t="str">
        <f>IFERROR(__xludf.DUMMYFUNCTION("GOOGLETRANSLATE(B505, ""EN"", ""BN"")"),"উপস্থিত কিন্তু দৃশ্যমান নয়")</f>
        <v>উপস্থিত কিন্তু দৃশ্যমান নয়</v>
      </c>
      <c r="D505" s="8" t="s">
        <v>1500</v>
      </c>
    </row>
    <row r="506">
      <c r="A506" s="5" t="s">
        <v>1501</v>
      </c>
      <c r="B506" s="6" t="s">
        <v>1087</v>
      </c>
      <c r="C506" s="7" t="str">
        <f>IFERROR(__xludf.DUMMYFUNCTION("GOOGLETRANSLATE(B506, ""EN"", ""BN"")"),"প্রশংসা করতে")</f>
        <v>প্রশংসা করতে</v>
      </c>
      <c r="D506" s="8" t="s">
        <v>1502</v>
      </c>
    </row>
    <row r="507">
      <c r="A507" s="5" t="s">
        <v>1503</v>
      </c>
      <c r="B507" s="6" t="s">
        <v>1504</v>
      </c>
      <c r="C507" s="7" t="str">
        <f>IFERROR(__xludf.DUMMYFUNCTION("GOOGLETRANSLATE(B507, ""EN"", ""BN"")"),"অতীত থেকে পাওয়া কোনো কিছু")</f>
        <v>অতীত থেকে পাওয়া কোনো কিছু</v>
      </c>
      <c r="D507" s="8" t="s">
        <v>1505</v>
      </c>
    </row>
    <row r="508">
      <c r="A508" s="5" t="s">
        <v>1506</v>
      </c>
      <c r="B508" s="6" t="s">
        <v>1507</v>
      </c>
      <c r="C508" s="7" t="str">
        <f>IFERROR(__xludf.DUMMYFUNCTION("GOOGLETRANSLATE(B508, ""EN"", ""BN"")"),"মন্থরতা")</f>
        <v>মন্থরতা</v>
      </c>
      <c r="D508" s="8" t="s">
        <v>1508</v>
      </c>
    </row>
    <row r="509">
      <c r="A509" s="5" t="s">
        <v>1509</v>
      </c>
      <c r="B509" s="6" t="s">
        <v>1510</v>
      </c>
      <c r="C509" s="7" t="str">
        <f>IFERROR(__xludf.DUMMYFUNCTION("GOOGLETRANSLATE(B509, ""EN"", ""BN"")"),"হালকা")</f>
        <v>হালকা</v>
      </c>
      <c r="D509" s="8" t="s">
        <v>1511</v>
      </c>
    </row>
    <row r="510">
      <c r="A510" s="5" t="s">
        <v>1512</v>
      </c>
      <c r="B510" s="6" t="s">
        <v>1513</v>
      </c>
      <c r="C510" s="7" t="str">
        <f>IFERROR(__xludf.DUMMYFUNCTION("GOOGLETRANSLATE(B510, ""EN"", ""BN"")"),"লিখিত বা প্রকাশিত এমন কোনো মিথ্যা যা কারো সুনাম ক্ষুণ্ণ করে।")</f>
        <v>লিখিত বা প্রকাশিত এমন কোনো মিথ্যা যা কারো সুনাম ক্ষুণ্ণ করে।</v>
      </c>
      <c r="D510" s="8" t="s">
        <v>1514</v>
      </c>
    </row>
    <row r="511">
      <c r="A511" s="5" t="s">
        <v>1515</v>
      </c>
      <c r="B511" s="6" t="s">
        <v>1516</v>
      </c>
      <c r="C511" s="7" t="str">
        <f>IFERROR(__xludf.DUMMYFUNCTION("GOOGLETRANSLATE(B511, ""EN"", ""BN"")"),"আদালতে বিচার করার জন্য")</f>
        <v>আদালতে বিচার করার জন্য</v>
      </c>
      <c r="D511" s="8" t="s">
        <v>1517</v>
      </c>
    </row>
    <row r="512">
      <c r="A512" s="5" t="s">
        <v>1518</v>
      </c>
      <c r="B512" s="6" t="s">
        <v>1519</v>
      </c>
      <c r="C512" s="7" t="str">
        <f>IFERROR(__xludf.DUMMYFUNCTION("GOOGLETRANSLATE(B512, ""EN"", ""BN"")"),"অনেক বা অতিরিক্ত কথা বলা")</f>
        <v>অনেক বা অতিরিক্ত কথা বলা</v>
      </c>
      <c r="D512" s="8" t="s">
        <v>1520</v>
      </c>
    </row>
    <row r="513">
      <c r="A513" s="5" t="s">
        <v>1521</v>
      </c>
      <c r="B513" s="6" t="s">
        <v>1522</v>
      </c>
      <c r="C513" s="7" t="str">
        <f>IFERROR(__xludf.DUMMYFUNCTION("GOOGLETRANSLATE(B513, ""EN"", ""BN"")"),"পরিষ্কার")</f>
        <v>পরিষ্কার</v>
      </c>
      <c r="D513" s="8" t="s">
        <v>1523</v>
      </c>
    </row>
    <row r="514">
      <c r="A514" s="5" t="s">
        <v>1524</v>
      </c>
      <c r="B514" s="6" t="s">
        <v>1525</v>
      </c>
      <c r="C514" s="7" t="str">
        <f>IFERROR(__xludf.DUMMYFUNCTION("GOOGLETRANSLATE(B514, ""EN"", ""BN"")"),"অতিরঞ্জিতভাবে শোকাবহ")</f>
        <v>অতিরঞ্জিতভাবে শোকাবহ</v>
      </c>
      <c r="D514" s="8" t="s">
        <v>1526</v>
      </c>
    </row>
    <row r="515">
      <c r="A515" s="5" t="s">
        <v>1527</v>
      </c>
      <c r="B515" s="6" t="s">
        <v>1528</v>
      </c>
      <c r="C515" s="7" t="str">
        <f>IFERROR(__xludf.DUMMYFUNCTION("GOOGLETRANSLATE(B515, ""EN"", ""BN"")"),"উজ্জ্বল")</f>
        <v>উজ্জ্বল</v>
      </c>
      <c r="D515" s="8" t="s">
        <v>1529</v>
      </c>
    </row>
    <row r="516">
      <c r="A516" s="5" t="s">
        <v>1530</v>
      </c>
      <c r="B516" s="6" t="s">
        <v>1531</v>
      </c>
      <c r="C516" s="7" t="str">
        <f>IFERROR(__xludf.DUMMYFUNCTION("GOOGLETRANSLATE(B516, ""EN"", ""BN"")"),"অসৎ উদ্দেশ্যে চক্রান্তমূলক কার্যকলাপ")</f>
        <v>অসৎ উদ্দেশ্যে চক্রান্তমূলক কার্যকলাপ</v>
      </c>
      <c r="D516" s="8" t="s">
        <v>1532</v>
      </c>
    </row>
    <row r="517">
      <c r="A517" s="5" t="s">
        <v>1533</v>
      </c>
      <c r="B517" s="6" t="s">
        <v>1534</v>
      </c>
      <c r="C517" s="7" t="str">
        <f>IFERROR(__xludf.DUMMYFUNCTION("GOOGLETRANSLATE(B517, ""EN"", ""BN"")"),"ক্ষমাশীল")</f>
        <v>ক্ষমাশীল</v>
      </c>
      <c r="D517" s="8" t="s">
        <v>1535</v>
      </c>
    </row>
    <row r="518">
      <c r="A518" s="5" t="s">
        <v>1536</v>
      </c>
      <c r="B518" s="6" t="s">
        <v>1537</v>
      </c>
      <c r="C518" s="7" t="str">
        <f>IFERROR(__xludf.DUMMYFUNCTION("GOOGLETRANSLATE(B518, ""EN"", ""BN"")"),"একজন ধনী, ক্ষমতাশালী বা অত্যন্ত সফল ব্যবসায়ী")</f>
        <v>একজন ধনী, ক্ষমতাশালী বা অত্যন্ত সফল ব্যবসায়ী</v>
      </c>
      <c r="D518" s="8" t="s">
        <v>1538</v>
      </c>
    </row>
    <row r="519">
      <c r="A519" s="5" t="s">
        <v>1539</v>
      </c>
      <c r="B519" s="6" t="s">
        <v>1540</v>
      </c>
      <c r="C519" s="7" t="str">
        <f>IFERROR(__xludf.DUMMYFUNCTION("GOOGLETRANSLATE(B519, ""EN"", ""BN"")"),"বিষণ্ণতা ও অস্বস্তির অনুভূতি")</f>
        <v>বিষণ্ণতা ও অস্বস্তির অনুভূতি</v>
      </c>
      <c r="D519" s="8" t="s">
        <v>1541</v>
      </c>
    </row>
    <row r="520">
      <c r="A520" s="5" t="s">
        <v>1542</v>
      </c>
      <c r="B520" s="6" t="s">
        <v>1543</v>
      </c>
      <c r="C520" s="7" t="str">
        <f>IFERROR(__xludf.DUMMYFUNCTION("GOOGLETRANSLATE(B520, ""EN"", ""BN"")"),"একটি বেআইনি কাজ, বিশেষত কোনো সরকারি কর্মকর্তার দ্বারা")</f>
        <v>একটি বেআইনি কাজ, বিশেষত কোনো সরকারি কর্মকর্তার দ্বারা</v>
      </c>
      <c r="D520" s="8" t="s">
        <v>1544</v>
      </c>
    </row>
    <row r="521">
      <c r="A521" s="5" t="s">
        <v>1545</v>
      </c>
      <c r="B521" s="6" t="s">
        <v>1546</v>
      </c>
      <c r="C521" s="7" t="str">
        <f>IFERROR(__xludf.DUMMYFUNCTION("GOOGLETRANSLATE(B521, ""EN"", ""BN"")"),"কাজ এড়ানোর জন্য অসুস্থ হওয়ার ভান করা")</f>
        <v>কাজ এড়ানোর জন্য অসুস্থ হওয়ার ভান করা</v>
      </c>
      <c r="D521" s="8" t="s">
        <v>1547</v>
      </c>
    </row>
    <row r="522">
      <c r="A522" s="5" t="s">
        <v>1548</v>
      </c>
      <c r="B522" s="6" t="s">
        <v>1549</v>
      </c>
      <c r="C522" s="7" t="str">
        <f>IFERROR(__xludf.DUMMYFUNCTION("GOOGLETRANSLATE(B522, ""EN"", ""BN"")"),"সহজে আকার দেওয়া বা বাঁকানো যায়")</f>
        <v>সহজে আকার দেওয়া বা বাঁকানো যায়</v>
      </c>
      <c r="D522" s="8" t="s">
        <v>1550</v>
      </c>
    </row>
    <row r="523">
      <c r="A523" s="5" t="s">
        <v>1551</v>
      </c>
      <c r="B523" s="6" t="s">
        <v>1552</v>
      </c>
      <c r="C523" s="7" t="str">
        <f>IFERROR(__xludf.DUMMYFUNCTION("GOOGLETRANSLATE(B523, ""EN"", ""BN"")"),"কোনো কিছু করার জন্য একটি আদেশ বা অনুমোদন")</f>
        <v>কোনো কিছু করার জন্য একটি আদেশ বা অনুমোদন</v>
      </c>
      <c r="D523" s="8" t="s">
        <v>1553</v>
      </c>
    </row>
    <row r="524">
      <c r="A524" s="5" t="s">
        <v>1554</v>
      </c>
      <c r="B524" s="6" t="s">
        <v>1555</v>
      </c>
      <c r="C524" s="7" t="str">
        <f>IFERROR(__xludf.DUMMYFUNCTION("GOOGLETRANSLATE(B524, ""EN"", ""BN"")"),"স্পষ্ট")</f>
        <v>স্পষ্ট</v>
      </c>
      <c r="D524" s="8" t="s">
        <v>1556</v>
      </c>
    </row>
    <row r="525">
      <c r="A525" s="5" t="s">
        <v>1557</v>
      </c>
      <c r="B525" s="6" t="s">
        <v>1558</v>
      </c>
      <c r="C525" s="7" t="str">
        <f>IFERROR(__xludf.DUMMYFUNCTION("GOOGLETRANSLATE(B525, ""EN"", ""BN"")"),"বিশ্বাস বা নীতির প্রকাশ্য ঘোষণা,
সাধারণত রাজনৈতিক।")</f>
        <v>বিশ্বাস বা নীতির প্রকাশ্য ঘোষণা,
সাধারণত রাজনৈতিক।</v>
      </c>
      <c r="D525" s="8" t="s">
        <v>1559</v>
      </c>
    </row>
    <row r="526">
      <c r="A526" s="5" t="s">
        <v>1560</v>
      </c>
      <c r="B526" s="6" t="s">
        <v>1561</v>
      </c>
      <c r="C526" s="7" t="str">
        <f>IFERROR(__xludf.DUMMYFUNCTION("GOOGLETRANSLATE(B526, ""EN"", ""BN"")"),"কোনো কিছু করার উদ্দেশ্যে গুছিয়ে রাখা")</f>
        <v>কোনো কিছু করার উদ্দেশ্যে গুছিয়ে রাখা</v>
      </c>
      <c r="D526" s="8" t="s">
        <v>1562</v>
      </c>
    </row>
    <row r="527">
      <c r="A527" s="5" t="s">
        <v>1563</v>
      </c>
      <c r="B527" s="6" t="s">
        <v>1564</v>
      </c>
      <c r="C527" s="7" t="str">
        <f>IFERROR(__xludf.DUMMYFUNCTION("GOOGLETRANSLATE(B527, ""EN"", ""BN"")"),"যুদ্ধবাজ")</f>
        <v>যুদ্ধবাজ</v>
      </c>
      <c r="D527" s="8" t="s">
        <v>1565</v>
      </c>
    </row>
    <row r="528">
      <c r="A528" s="5" t="s">
        <v>1566</v>
      </c>
      <c r="B528" s="6" t="s">
        <v>1567</v>
      </c>
      <c r="C528" s="7" t="str">
        <f>IFERROR(__xludf.DUMMYFUNCTION("GOOGLETRANSLATE(B528, ""EN"", ""BN"")"),"যে সহানুভূতি আদায়ের জন্য কষ্টের ভান করে")</f>
        <v>যে সহানুভূতি আদায়ের জন্য কষ্টের ভান করে</v>
      </c>
      <c r="D528" s="8" t="s">
        <v>1568</v>
      </c>
    </row>
    <row r="529">
      <c r="A529" s="5" t="s">
        <v>1569</v>
      </c>
      <c r="B529" s="6" t="s">
        <v>1570</v>
      </c>
      <c r="C529" s="7" t="str">
        <f>IFERROR(__xludf.DUMMYFUNCTION("GOOGLETRANSLATE(B529, ""EN"", ""BN"")"),"ভর্তি হওয়া, বিশেষ করে কলেজে")</f>
        <v>ভর্তি হওয়া, বিশেষ করে কলেজে</v>
      </c>
      <c r="D529" s="8" t="s">
        <v>1571</v>
      </c>
    </row>
    <row r="530">
      <c r="A530" s="5" t="s">
        <v>1572</v>
      </c>
      <c r="B530" s="6" t="s">
        <v>1573</v>
      </c>
      <c r="C530" s="7" t="str">
        <f>IFERROR(__xludf.DUMMYFUNCTION("GOOGLETRANSLATE(B530, ""EN"", ""BN"")"),"বোকা এবং অতিরিক্ত আবেগপ্রবণ")</f>
        <v>বোকা এবং অতিরিক্ত আবেগপ্রবণ</v>
      </c>
      <c r="D530" s="8" t="s">
        <v>1574</v>
      </c>
    </row>
    <row r="531">
      <c r="A531" s="5" t="s">
        <v>1575</v>
      </c>
      <c r="B531" s="6" t="s">
        <v>1576</v>
      </c>
      <c r="C531" s="7" t="str">
        <f>IFERROR(__xludf.DUMMYFUNCTION("GOOGLETRANSLATE(B531, ""EN"", ""BN"")"),"একজন বিদ্রোহী")</f>
        <v>একজন বিদ্রোহী</v>
      </c>
      <c r="D531" s="8" t="s">
        <v>1577</v>
      </c>
    </row>
    <row r="532">
      <c r="A532" s="5" t="s">
        <v>1578</v>
      </c>
      <c r="B532" s="6" t="s">
        <v>1579</v>
      </c>
      <c r="C532" s="7" t="str">
        <f>IFERROR(__xludf.DUMMYFUNCTION("GOOGLETRANSLATE(B532, ""EN"", ""BN"")"),"একটি পুরানো প্রবাদ")</f>
        <v>একটি পুরানো প্রবাদ</v>
      </c>
      <c r="D532" s="8" t="s">
        <v>1580</v>
      </c>
    </row>
    <row r="533">
      <c r="A533" s="5" t="s">
        <v>1581</v>
      </c>
      <c r="B533" s="6" t="s">
        <v>1582</v>
      </c>
      <c r="C533" s="7" t="str">
        <f>IFERROR(__xludf.DUMMYFUNCTION("GOOGLETRANSLATE(B533, ""EN"", ""BN"")"),"মতপার্থক্য মেটাতে সাহায্য করতে")</f>
        <v>মতপার্থক্য মেটাতে সাহায্য করতে</v>
      </c>
      <c r="D533" s="8" t="s">
        <v>1583</v>
      </c>
    </row>
    <row r="534">
      <c r="A534" s="5" t="s">
        <v>1584</v>
      </c>
      <c r="B534" s="6" t="s">
        <v>1585</v>
      </c>
      <c r="C534" s="7" t="str">
        <f>IFERROR(__xludf.DUMMYFUNCTION("GOOGLETRANSLATE(B534, ""EN"", ""BN"")"),"মিষ্টিভাবে প্রবাহিত")</f>
        <v>মিষ্টিভাবে প্রবাহিত</v>
      </c>
      <c r="D534" s="8" t="s">
        <v>1586</v>
      </c>
    </row>
    <row r="535">
      <c r="A535" s="5" t="s">
        <v>1587</v>
      </c>
      <c r="B535" s="6" t="s">
        <v>1588</v>
      </c>
      <c r="C535" s="7" t="str">
        <f>IFERROR(__xludf.DUMMYFUNCTION("GOOGLETRANSLATE(B535, ""EN"", ""BN"")"),"অসৎ")</f>
        <v>অসৎ</v>
      </c>
      <c r="D535" s="8" t="s">
        <v>1589</v>
      </c>
    </row>
    <row r="536">
      <c r="A536" s="5" t="s">
        <v>1590</v>
      </c>
      <c r="B536" s="6" t="s">
        <v>1591</v>
      </c>
      <c r="C536" s="7" t="str">
        <f>IFERROR(__xludf.DUMMYFUNCTION("GOOGLETRANSLATE(B536, ""EN"", ""BN"")"),"একজন ভিক্ষুক")</f>
        <v>একজন ভিক্ষুক</v>
      </c>
      <c r="D536" s="8" t="s">
        <v>1592</v>
      </c>
    </row>
    <row r="537">
      <c r="A537" s="5" t="s">
        <v>1593</v>
      </c>
      <c r="B537" s="6" t="s">
        <v>1594</v>
      </c>
      <c r="C537" s="7" t="str">
        <f>IFERROR(__xludf.DUMMYFUNCTION("GOOGLETRANSLATE(B537, ""EN"", ""BN"")"),"একজন শিক্ষক, গৃহশিক্ষক, পরামর্শদাতা বা প্রশিক্ষক")</f>
        <v>একজন শিক্ষক, গৃহশিক্ষক, পরামর্শদাতা বা প্রশিক্ষক</v>
      </c>
      <c r="D537" s="8" t="s">
        <v>1595</v>
      </c>
    </row>
    <row r="538">
      <c r="A538" s="5" t="s">
        <v>1596</v>
      </c>
      <c r="B538" s="6" t="s">
        <v>1597</v>
      </c>
      <c r="C538" s="7" t="str">
        <f>IFERROR(__xludf.DUMMYFUNCTION("GOOGLETRANSLATE(B538, ""EN"", ""BN"")"),"যে টাকার জন্য যেকোনো কিছু করতে পারে")</f>
        <v>যে টাকার জন্য যেকোনো কিছু করতে পারে</v>
      </c>
      <c r="D538" s="8" t="s">
        <v>1598</v>
      </c>
    </row>
    <row r="539">
      <c r="A539" s="5" t="s">
        <v>1599</v>
      </c>
      <c r="B539" s="6" t="s">
        <v>1600</v>
      </c>
      <c r="C539" s="7" t="str">
        <f>IFERROR(__xludf.DUMMYFUNCTION("GOOGLETRANSLATE(B539, ""EN"", ""BN"")"),"মেজাজের দ্রুত পরিবর্তন")</f>
        <v>মেজাজের দ্রুত পরিবর্তন</v>
      </c>
      <c r="D539" s="8" t="s">
        <v>1601</v>
      </c>
    </row>
    <row r="540">
      <c r="A540" s="5" t="s">
        <v>1602</v>
      </c>
      <c r="B540" s="6" t="s">
        <v>1603</v>
      </c>
      <c r="C540" s="7" t="str">
        <f>IFERROR(__xludf.DUMMYFUNCTION("GOOGLETRANSLATE(B540, ""EN"", ""BN"")"),"রূপের এক জাদুকরী পরিবর্তন")</f>
        <v>রূপের এক জাদুকরী পরিবর্তন</v>
      </c>
      <c r="D540" s="8" t="s">
        <v>1604</v>
      </c>
    </row>
    <row r="541">
      <c r="A541" s="5" t="s">
        <v>1605</v>
      </c>
      <c r="B541" s="6" t="s">
        <v>1606</v>
      </c>
      <c r="C541" s="7" t="str">
        <f>IFERROR(__xludf.DUMMYFUNCTION("GOOGLETRANSLATE(B541, ""EN"", ""BN"")"),"ক্ষুদ্র বিশ্ব")</f>
        <v>ক্ষুদ্র বিশ্ব</v>
      </c>
      <c r="D541" s="8" t="s">
        <v>1607</v>
      </c>
    </row>
    <row r="542">
      <c r="A542" s="5" t="s">
        <v>1608</v>
      </c>
      <c r="B542" s="6" t="s">
        <v>1609</v>
      </c>
      <c r="C542" s="7" t="str">
        <f>IFERROR(__xludf.DUMMYFUNCTION("GOOGLETRANSLATE(B542, ""EN"", ""BN"")"),"পরিবেশ")</f>
        <v>পরিবেশ</v>
      </c>
      <c r="D542" s="8" t="s">
        <v>1610</v>
      </c>
    </row>
    <row r="543">
      <c r="A543" s="5" t="s">
        <v>1611</v>
      </c>
      <c r="B543" s="6" t="s">
        <v>1612</v>
      </c>
      <c r="C543" s="7" t="str">
        <f>IFERROR(__xludf.DUMMYFUNCTION("GOOGLETRANSLATE(B543, ""EN"", ""BN"")"),"ক্ষুদ্র")</f>
        <v>ক্ষুদ্র</v>
      </c>
      <c r="D543" s="8" t="s">
        <v>1613</v>
      </c>
    </row>
    <row r="544">
      <c r="A544" s="5" t="s">
        <v>1614</v>
      </c>
      <c r="B544" s="6" t="s">
        <v>1615</v>
      </c>
      <c r="C544" s="7" t="str">
        <f>IFERROR(__xludf.DUMMYFUNCTION("GOOGLETRANSLATE(B544, ""EN"", ""BN"")"),"মানবজাতিকে ঘৃণা করা")</f>
        <v>মানবজাতিকে ঘৃণা করা</v>
      </c>
      <c r="D544" s="8" t="s">
        <v>1616</v>
      </c>
    </row>
    <row r="545">
      <c r="A545" s="5" t="s">
        <v>1617</v>
      </c>
      <c r="B545" s="6" t="s">
        <v>1618</v>
      </c>
      <c r="C545" s="7" t="str">
        <f>IFERROR(__xludf.DUMMYFUNCTION("GOOGLETRANSLATE(B545, ""EN"", ""BN"")"),"কোনো কিছুর প্রভাব প্রশমিত করা")</f>
        <v>কোনো কিছুর প্রভাব প্রশমিত করা</v>
      </c>
      <c r="D545" s="8" t="s">
        <v>1619</v>
      </c>
    </row>
    <row r="546">
      <c r="A546" s="5" t="s">
        <v>1620</v>
      </c>
      <c r="B546" s="6" t="s">
        <v>372</v>
      </c>
      <c r="C546" s="7" t="str">
        <f>IFERROR(__xludf.DUMMYFUNCTION("GOOGLETRANSLATE(B546, ""EN"", ""BN"")"),"প্রশমিত করতে")</f>
        <v>প্রশমিত করতে</v>
      </c>
      <c r="D546" s="8" t="s">
        <v>1621</v>
      </c>
    </row>
    <row r="547">
      <c r="A547" s="5" t="s">
        <v>1622</v>
      </c>
      <c r="B547" s="6" t="s">
        <v>1623</v>
      </c>
      <c r="C547" s="7" t="str">
        <f>IFERROR(__xludf.DUMMYFUNCTION("GOOGLETRANSLATE(B547, ""EN"", ""BN"")"),"বিশাল, নিরেট, অভিন্ন এবং অনমনীয়")</f>
        <v>বিশাল, নিরেট, অভিন্ন এবং অনমনীয়</v>
      </c>
      <c r="D547" s="8" t="s">
        <v>1624</v>
      </c>
    </row>
    <row r="548">
      <c r="A548" s="5" t="s">
        <v>1625</v>
      </c>
      <c r="B548" s="6" t="s">
        <v>1626</v>
      </c>
      <c r="C548" s="7" t="str">
        <f>IFERROR(__xludf.DUMMYFUNCTION("GOOGLETRANSLATE(B548, ""EN"", ""BN"")"),"মৃত্যু")</f>
        <v>মৃত্যু</v>
      </c>
      <c r="D548" s="8" t="s">
        <v>1627</v>
      </c>
    </row>
    <row r="549">
      <c r="A549" s="5" t="s">
        <v>1628</v>
      </c>
      <c r="B549" s="6" t="s">
        <v>1629</v>
      </c>
      <c r="C549" s="7" t="str">
        <f>IFERROR(__xludf.DUMMYFUNCTION("GOOGLETRANSLATE(B549, ""EN"", ""BN"")"),"বিষণ্ণ")</f>
        <v>বিষণ্ণ</v>
      </c>
      <c r="D549" s="8" t="s">
        <v>1630</v>
      </c>
    </row>
    <row r="550">
      <c r="A550" s="5" t="s">
        <v>1631</v>
      </c>
      <c r="B550" s="6" t="s">
        <v>5</v>
      </c>
      <c r="C550" s="7" t="str">
        <f>IFERROR(__xludf.DUMMYFUNCTION("GOOGLETRANSLATE(B550, ""EN"", ""BN"")"),"অপমান করা")</f>
        <v>অপমান করা</v>
      </c>
      <c r="D550" s="8" t="s">
        <v>1632</v>
      </c>
    </row>
    <row r="551">
      <c r="A551" s="5" t="s">
        <v>1633</v>
      </c>
      <c r="B551" s="6" t="s">
        <v>1634</v>
      </c>
      <c r="C551" s="7" t="str">
        <f>IFERROR(__xludf.DUMMYFUNCTION("GOOGLETRANSLATE(B551, ""EN"", ""BN"")"),"সাধারণ")</f>
        <v>সাধারণ</v>
      </c>
      <c r="D551" s="8" t="s">
        <v>1635</v>
      </c>
    </row>
    <row r="552">
      <c r="A552" s="5" t="s">
        <v>1636</v>
      </c>
      <c r="B552" s="6" t="s">
        <v>1637</v>
      </c>
      <c r="C552" s="7" t="str">
        <f>IFERROR(__xludf.DUMMYFUNCTION("GOOGLETRANSLATE(B552, ""EN"", ""BN"")"),"জমকালো")</f>
        <v>জমকালো</v>
      </c>
      <c r="D552" s="8" t="s">
        <v>1638</v>
      </c>
    </row>
    <row r="553">
      <c r="A553" s="5" t="s">
        <v>1639</v>
      </c>
      <c r="B553" s="6" t="s">
        <v>1640</v>
      </c>
      <c r="C553" s="7" t="str">
        <f>IFERROR(__xludf.DUMMYFUNCTION("GOOGLETRANSLATE(B553, ""EN"", ""BN"")"),"ক্ষীণদৃষ্টি")</f>
        <v>ক্ষীণদৃষ্টি</v>
      </c>
      <c r="D553" s="8" t="s">
        <v>1641</v>
      </c>
    </row>
    <row r="554">
      <c r="A554" s="5" t="s">
        <v>1642</v>
      </c>
      <c r="B554" s="6" t="s">
        <v>1643</v>
      </c>
      <c r="C554" s="7" t="str">
        <f>IFERROR(__xludf.DUMMYFUNCTION("GOOGLETRANSLATE(B554, ""EN"", ""BN"")"),"বিপুল সংখ্যক")</f>
        <v>বিপুল সংখ্যক</v>
      </c>
      <c r="D554" s="8" t="s">
        <v>1644</v>
      </c>
    </row>
    <row r="555">
      <c r="A555" s="5" t="s">
        <v>1645</v>
      </c>
      <c r="B555" s="6" t="s">
        <v>1646</v>
      </c>
      <c r="C555" s="7" t="str">
        <f>IFERROR(__xludf.DUMMYFUNCTION("GOOGLETRANSLATE(B555, ""EN"", ""BN"")"),"নিজের শরীর বা নিজের প্রতি অতিরিক্ত ভালোবাসা")</f>
        <v>নিজের শরীর বা নিজের প্রতি অতিরিক্ত ভালোবাসা</v>
      </c>
      <c r="D555" s="8" t="s">
        <v>1647</v>
      </c>
    </row>
    <row r="556">
      <c r="A556" s="5" t="s">
        <v>1648</v>
      </c>
      <c r="B556" s="6" t="s">
        <v>1649</v>
      </c>
      <c r="C556" s="7" t="str">
        <f>IFERROR(__xludf.DUMMYFUNCTION("GOOGLETRANSLATE(B556, ""EN"", ""BN"")"),"অস্পষ্ট")</f>
        <v>অস্পষ্ট</v>
      </c>
      <c r="D556" s="8" t="s">
        <v>1650</v>
      </c>
    </row>
    <row r="557">
      <c r="A557" s="5" t="s">
        <v>1651</v>
      </c>
      <c r="B557" s="6" t="s">
        <v>1652</v>
      </c>
      <c r="C557" s="7" t="str">
        <f>IFERROR(__xludf.DUMMYFUNCTION("GOOGLETRANSLATE(B557, ""EN"", ""BN"")"),"মন্দ")</f>
        <v>মন্দ</v>
      </c>
      <c r="D557" s="8" t="s">
        <v>1653</v>
      </c>
    </row>
    <row r="558">
      <c r="A558" s="5" t="s">
        <v>1654</v>
      </c>
      <c r="B558" s="6" t="s">
        <v>1655</v>
      </c>
      <c r="C558" s="7" t="str">
        <f>IFERROR(__xludf.DUMMYFUNCTION("GOOGLETRANSLATE(B558, ""EN"", ""BN"")"),"একটি শব্দের নতুন ব্যবহার")</f>
        <v>একটি শব্দের নতুন ব্যবহার</v>
      </c>
      <c r="D558" s="11" t="s">
        <v>1656</v>
      </c>
    </row>
    <row r="559">
      <c r="A559" s="5" t="s">
        <v>1657</v>
      </c>
      <c r="B559" s="6" t="s">
        <v>1658</v>
      </c>
      <c r="C559" s="7" t="str">
        <f>IFERROR(__xludf.DUMMYFUNCTION("GOOGLETRANSLATE(B559, ""EN"", ""BN"")"),"ব্যবসা বা রাজনীতিতে বন্ধু বা পরিবারের প্রতি পক্ষপাতিত্ব দেখানো")</f>
        <v>ব্যবসা বা রাজনীতিতে বন্ধু বা পরিবারের প্রতি পক্ষপাতিত্ব দেখানো</v>
      </c>
      <c r="D559" s="8" t="s">
        <v>1659</v>
      </c>
    </row>
    <row r="560">
      <c r="A560" s="5" t="s">
        <v>1660</v>
      </c>
      <c r="B560" s="6" t="s">
        <v>1661</v>
      </c>
      <c r="C560" s="7" t="str">
        <f>IFERROR(__xludf.DUMMYFUNCTION("GOOGLETRANSLATE(B560, ""EN"", ""BN"")"),"এই বিশ্বাস যে মহাবিশ্বে কোনো মূল্যবোধ বা নৈতিকতা নেই")</f>
        <v>এই বিশ্বাস যে মহাবিশ্বে কোনো মূল্যবোধ বা নৈতিকতা নেই</v>
      </c>
      <c r="D560" s="8" t="s">
        <v>1662</v>
      </c>
    </row>
    <row r="561">
      <c r="A561" s="5" t="s">
        <v>1663</v>
      </c>
      <c r="B561" s="6" t="s">
        <v>1664</v>
      </c>
      <c r="C561" s="7" t="str">
        <f>IFERROR(__xludf.DUMMYFUNCTION("GOOGLETRANSLATE(B561, ""EN"", ""BN"")"),"নগণ্য")</f>
        <v>নগণ্য</v>
      </c>
      <c r="D561" s="8" t="s">
        <v>1665</v>
      </c>
    </row>
    <row r="562">
      <c r="A562" s="5" t="s">
        <v>1666</v>
      </c>
      <c r="B562" s="6" t="s">
        <v>1667</v>
      </c>
      <c r="C562" s="7" t="str">
        <f>IFERROR(__xludf.DUMMYFUNCTION("GOOGLETRANSLATE(B562, ""EN"", ""BN"")"),"অতীতের জন্য আবেগপ্রবণ আকাঙ্ক্ষা")</f>
        <v>অতীতের জন্য আবেগপ্রবণ আকাঙ্ক্ষা</v>
      </c>
      <c r="D562" s="8" t="s">
        <v>1668</v>
      </c>
    </row>
    <row r="563">
      <c r="A563" s="5" t="s">
        <v>1669</v>
      </c>
      <c r="B563" s="6" t="s">
        <v>1670</v>
      </c>
      <c r="C563" s="7" t="str">
        <f>IFERROR(__xludf.DUMMYFUNCTION("GOOGLETRANSLATE(B563, ""EN"", ""BN"")"),"কোনো খারাপ কিছুর জন্য বিখ্যাত")</f>
        <v>কোনো খারাপ কিছুর জন্য বিখ্যাত</v>
      </c>
      <c r="D563" s="8" t="s">
        <v>1671</v>
      </c>
    </row>
    <row r="564">
      <c r="A564" s="5" t="s">
        <v>1672</v>
      </c>
      <c r="B564" s="6" t="s">
        <v>1673</v>
      </c>
      <c r="C564" s="7" t="str">
        <f>IFERROR(__xludf.DUMMYFUNCTION("GOOGLETRANSLATE(B564, ""EN"", ""BN"")"),"নতুন")</f>
        <v>নতুন</v>
      </c>
      <c r="D564" s="8" t="s">
        <v>1674</v>
      </c>
    </row>
    <row r="565">
      <c r="A565" s="5" t="s">
        <v>1675</v>
      </c>
      <c r="B565" s="6" t="s">
        <v>820</v>
      </c>
      <c r="C565" s="7" t="str">
        <f>IFERROR(__xludf.DUMMYFUNCTION("GOOGLETRANSLATE(B565, ""EN"", ""BN"")"),"ক্ষতিকারক")</f>
        <v>ক্ষতিকারক</v>
      </c>
      <c r="D565" s="8" t="s">
        <v>1676</v>
      </c>
    </row>
    <row r="566">
      <c r="A566" s="5" t="s">
        <v>1677</v>
      </c>
      <c r="B566" s="6" t="s">
        <v>1678</v>
      </c>
      <c r="C566" s="7" t="str">
        <f>IFERROR(__xludf.DUMMYFUNCTION("GOOGLETRANSLATE(B566, ""EN"", ""BN"")"),"একটি সূক্ষ্ম পার্থক্য বা ভিন্নতা")</f>
        <v>একটি সূক্ষ্ম পার্থক্য বা ভিন্নতা</v>
      </c>
      <c r="D566" s="8" t="s">
        <v>1679</v>
      </c>
    </row>
    <row r="567">
      <c r="A567" s="5" t="s">
        <v>1680</v>
      </c>
      <c r="B567" s="6" t="s">
        <v>1681</v>
      </c>
      <c r="C567" s="7" t="str">
        <f>IFERROR(__xludf.DUMMYFUNCTION("GOOGLETRANSLATE(B567, ""EN"", ""BN"")"),"একগুঁয়ে এবং অনুভূতিহীন")</f>
        <v>একগুঁয়ে এবং অনুভূতিহীন</v>
      </c>
      <c r="D567" s="8" t="s">
        <v>1682</v>
      </c>
    </row>
    <row r="568">
      <c r="A568" s="5" t="s">
        <v>1683</v>
      </c>
      <c r="B568" s="6" t="s">
        <v>1684</v>
      </c>
      <c r="C568" s="7" t="str">
        <f>IFERROR(__xludf.DUMMYFUNCTION("GOOGLETRANSLATE(B568, ""EN"", ""BN"")"),"বিভ্রান্ত করা")</f>
        <v>বিভ্রান্ত করা</v>
      </c>
      <c r="D568" s="8" t="s">
        <v>1685</v>
      </c>
    </row>
    <row r="569">
      <c r="A569" s="5" t="s">
        <v>1686</v>
      </c>
      <c r="B569" s="6" t="s">
        <v>1687</v>
      </c>
      <c r="C569" s="7" t="str">
        <f>IFERROR(__xludf.DUMMYFUNCTION("GOOGLETRANSLATE(B569, ""EN"", ""BN"")"),"পরোক্ষ")</f>
        <v>পরোক্ষ</v>
      </c>
      <c r="D569" s="8" t="s">
        <v>1688</v>
      </c>
    </row>
    <row r="570">
      <c r="A570" s="5" t="s">
        <v>1689</v>
      </c>
      <c r="B570" s="6" t="s">
        <v>1690</v>
      </c>
      <c r="C570" s="7" t="str">
        <f>IFERROR(__xludf.DUMMYFUNCTION("GOOGLETRANSLATE(B570, ""EN"", ""BN"")"),"সম্পূর্ণ বিস্মৃতি")</f>
        <v>সম্পূর্ণ বিস্মৃতি</v>
      </c>
      <c r="D570" s="8" t="s">
        <v>1691</v>
      </c>
    </row>
    <row r="571">
      <c r="A571" s="5" t="s">
        <v>1692</v>
      </c>
      <c r="B571" s="6" t="s">
        <v>1031</v>
      </c>
      <c r="C571" s="7" t="str">
        <f>IFERROR(__xludf.DUMMYFUNCTION("GOOGLETRANSLATE(B571, ""EN"", ""BN"")"),"বোঝা কঠিন")</f>
        <v>বোঝা কঠিন</v>
      </c>
      <c r="D571" s="8" t="s">
        <v>1693</v>
      </c>
    </row>
    <row r="572">
      <c r="A572" s="5" t="s">
        <v>1694</v>
      </c>
      <c r="B572" s="6" t="s">
        <v>1695</v>
      </c>
      <c r="C572" s="7" t="str">
        <f>IFERROR(__xludf.DUMMYFUNCTION("GOOGLETRANSLATE(B572, ""EN"", ""BN"")"),"তোষামোদ করা")</f>
        <v>তোষামোদ করা</v>
      </c>
      <c r="D572" s="8" t="s">
        <v>1696</v>
      </c>
    </row>
    <row r="573">
      <c r="A573" s="5" t="s">
        <v>1697</v>
      </c>
      <c r="B573" s="6" t="s">
        <v>1698</v>
      </c>
      <c r="C573" s="7" t="str">
        <f>IFERROR(__xludf.DUMMYFUNCTION("GOOGLETRANSLATE(B573, ""EN"", ""BN"")"),"অসংবেদনশীল")</f>
        <v>অসংবেদনশীল</v>
      </c>
      <c r="D573" s="8" t="s">
        <v>1699</v>
      </c>
    </row>
    <row r="574">
      <c r="A574" s="5" t="s">
        <v>1700</v>
      </c>
      <c r="B574" s="6" t="s">
        <v>1701</v>
      </c>
      <c r="C574" s="7" t="str">
        <f>IFERROR(__xludf.DUMMYFUNCTION("GOOGLETRANSLATE(B574, ""EN"", ""BN"")"),"বিরক্তিকরভাবে সাহায্য বা পরামর্শ দিতে আগ্রহী")</f>
        <v>বিরক্তিকরভাবে সাহায্য বা পরামর্শ দিতে আগ্রহী</v>
      </c>
      <c r="D574" s="8" t="s">
        <v>1702</v>
      </c>
    </row>
    <row r="575">
      <c r="A575" s="5" t="s">
        <v>1703</v>
      </c>
      <c r="B575" s="6" t="s">
        <v>1704</v>
      </c>
      <c r="C575" s="7" t="str">
        <f>IFERROR(__xludf.DUMMYFUNCTION("GOOGLETRANSLATE(B575, ""EN"", ""BN"")"),"বোঝাস্বরূপ")</f>
        <v>বোঝাস্বরূপ</v>
      </c>
      <c r="D575" s="8" t="s">
        <v>1705</v>
      </c>
    </row>
    <row r="576">
      <c r="A576" s="5" t="s">
        <v>1706</v>
      </c>
      <c r="B576" s="6" t="s">
        <v>1707</v>
      </c>
      <c r="C576" s="7" t="str">
        <f>IFERROR(__xludf.DUMMYFUNCTION("GOOGLETRANSLATE(B576, ""EN"", ""BN"")"),"ভেদ করে দেখা বা বোঝা অসম্ভব")</f>
        <v>ভেদ করে দেখা বা বোঝা অসম্ভব</v>
      </c>
      <c r="D576" s="8" t="s">
        <v>1708</v>
      </c>
    </row>
    <row r="577">
      <c r="A577" s="5" t="s">
        <v>1709</v>
      </c>
      <c r="B577" s="6" t="s">
        <v>1710</v>
      </c>
      <c r="C577" s="7" t="str">
        <f>IFERROR(__xludf.DUMMYFUNCTION("GOOGLETRANSLATE(B577, ""EN"", ""BN"")"),"বিলাসবহুল")</f>
        <v>বিলাসবহুল</v>
      </c>
      <c r="D577" s="8" t="s">
        <v>1711</v>
      </c>
    </row>
    <row r="578">
      <c r="A578" s="5" t="s">
        <v>1712</v>
      </c>
      <c r="B578" s="6" t="s">
        <v>1713</v>
      </c>
      <c r="C578" s="7" t="str">
        <f>IFERROR(__xludf.DUMMYFUNCTION("GOOGLETRANSLATE(B578, ""EN"", ""BN"")"),"প্রচলিত, প্রতিষ্ঠিত নীতি মেনে চলা, বিশেষ করে ধর্মের ক্ষেত্রে।")</f>
        <v>প্রচলিত, প্রতিষ্ঠিত নীতি মেনে চলা, বিশেষ করে ধর্মের ক্ষেত্রে।</v>
      </c>
      <c r="D578" s="8" t="s">
        <v>1714</v>
      </c>
    </row>
    <row r="579">
      <c r="A579" s="5" t="s">
        <v>1715</v>
      </c>
      <c r="B579" s="6" t="s">
        <v>1716</v>
      </c>
      <c r="C579" s="7" t="str">
        <f>IFERROR(__xludf.DUMMYFUNCTION("GOOGLETRANSLATE(B579, ""EN"", ""BN"")"),"আপাতদৃষ্টিতে মনে হলেও বিভ্রান্তিকর")</f>
        <v>আপাতদৃষ্টিতে মনে হলেও বিভ্রান্তিকর</v>
      </c>
      <c r="D579" s="8" t="s">
        <v>1717</v>
      </c>
    </row>
    <row r="580">
      <c r="A580" s="5" t="s">
        <v>1718</v>
      </c>
      <c r="B580" s="6" t="s">
        <v>1719</v>
      </c>
      <c r="C580" s="7" t="str">
        <f>IFERROR(__xludf.DUMMYFUNCTION("GOOGLETRANSLATE(B580, ""EN"", ""BN"")"),"জাহির করা")</f>
        <v>জাহির করা</v>
      </c>
      <c r="D580" s="8" t="s">
        <v>1720</v>
      </c>
    </row>
    <row r="581">
      <c r="A581" s="5" t="s">
        <v>1721</v>
      </c>
      <c r="B581" s="6" t="s">
        <v>1722</v>
      </c>
      <c r="C581" s="7" t="str">
        <f>IFERROR(__xludf.DUMMYFUNCTION("GOOGLETRANSLATE(B581, ""EN"", ""BN"")"),"কাউকে শান্ত করতে")</f>
        <v>কাউকে শান্ত করতে</v>
      </c>
      <c r="D581" s="8" t="s">
        <v>1723</v>
      </c>
    </row>
    <row r="582">
      <c r="A582" s="5" t="s">
        <v>1724</v>
      </c>
      <c r="B582" s="6" t="s">
        <v>1725</v>
      </c>
      <c r="C582" s="7" t="str">
        <f>IFERROR(__xludf.DUMMYFUNCTION("GOOGLETRANSLATE(B582, ""EN"", ""BN"")"),"অত্যন্ত সতর্ক")</f>
        <v>অত্যন্ত সতর্ক</v>
      </c>
      <c r="D582" s="8" t="s">
        <v>1726</v>
      </c>
    </row>
    <row r="583">
      <c r="A583" s="5" t="s">
        <v>1727</v>
      </c>
      <c r="B583" s="6" t="s">
        <v>1728</v>
      </c>
      <c r="C583" s="7" t="str">
        <f>IFERROR(__xludf.DUMMYFUNCTION("GOOGLETRANSLATE(B583, ""EN"", ""BN"")"),"সমস্যাটি পুরোপুরি দূর না করে কোনো কিছুর উপশম বা লাঘব করা")</f>
        <v>সমস্যাটি পুরোপুরি দূর না করে কোনো কিছুর উপশম বা লাঘব করা</v>
      </c>
      <c r="D583" s="8" t="s">
        <v>1729</v>
      </c>
    </row>
    <row r="584">
      <c r="A584" s="5" t="s">
        <v>1730</v>
      </c>
      <c r="B584" s="6" t="s">
        <v>1731</v>
      </c>
      <c r="C584" s="7" t="str">
        <f>IFERROR(__xludf.DUMMYFUNCTION("GOOGLETRANSLATE(B584, ""EN"", ""BN"")"),"সুস্পষ্ট; বাস্তব")</f>
        <v>সুস্পষ্ট; বাস্তব</v>
      </c>
      <c r="D584" s="8" t="s">
        <v>1732</v>
      </c>
    </row>
    <row r="585">
      <c r="A585" s="5" t="s">
        <v>1733</v>
      </c>
      <c r="B585" s="6" t="s">
        <v>1664</v>
      </c>
      <c r="C585" s="7" t="str">
        <f>IFERROR(__xludf.DUMMYFUNCTION("GOOGLETRANSLATE(B585, ""EN"", ""BN"")"),"নগণ্য")</f>
        <v>নগণ্য</v>
      </c>
      <c r="D585" s="8" t="s">
        <v>1734</v>
      </c>
    </row>
    <row r="586">
      <c r="A586" s="5" t="s">
        <v>1735</v>
      </c>
      <c r="B586" s="6" t="s">
        <v>1736</v>
      </c>
      <c r="C586" s="7" t="str">
        <f>IFERROR(__xludf.DUMMYFUNCTION("GOOGLETRANSLATE(B586, ""EN"", ""BN"")"),"এমন কিছু যা সবকিছু নিরাময় করে")</f>
        <v>এমন কিছু যা সবকিছু নিরাময় করে</v>
      </c>
      <c r="D586" s="8" t="s">
        <v>1737</v>
      </c>
    </row>
    <row r="587">
      <c r="A587" s="5" t="s">
        <v>1738</v>
      </c>
      <c r="B587" s="6" t="s">
        <v>1739</v>
      </c>
      <c r="C587" s="7" t="str">
        <f>IFERROR(__xludf.DUMMYFUNCTION("GOOGLETRANSLATE(B587, ""EN"", ""BN"")"),"একটি মডেল বা উদাহরণ")</f>
        <v>একটি মডেল বা উদাহরণ</v>
      </c>
      <c r="D587" s="8" t="s">
        <v>1740</v>
      </c>
    </row>
    <row r="588">
      <c r="A588" s="5" t="s">
        <v>1741</v>
      </c>
      <c r="B588" s="6" t="s">
        <v>1742</v>
      </c>
      <c r="C588" s="7" t="str">
        <f>IFERROR(__xludf.DUMMYFUNCTION("GOOGLETRANSLATE(B588, ""EN"", ""BN"")"),"একটি সত্য বিবৃতি বা ঘটনা যা সত্ত্বেও স্ববিরোধী বলে মনে হয়।")</f>
        <v>একটি সত্য বিবৃতি বা ঘটনা যা সত্ত্বেও স্ববিরোধী বলে মনে হয়।</v>
      </c>
      <c r="D588" s="8" t="s">
        <v>1743</v>
      </c>
    </row>
    <row r="589">
      <c r="A589" s="5" t="s">
        <v>1744</v>
      </c>
      <c r="B589" s="6" t="s">
        <v>1745</v>
      </c>
      <c r="C589" s="7" t="str">
        <f>IFERROR(__xludf.DUMMYFUNCTION("GOOGLETRANSLATE(B589, ""EN"", ""BN"")"),"দৃষ্টিভঙ্গিতে সংকীর্ণ বা সীমাবদ্ধ")</f>
        <v>দৃষ্টিভঙ্গিতে সংকীর্ণ বা সীমাবদ্ধ</v>
      </c>
      <c r="D589" s="8" t="s">
        <v>1746</v>
      </c>
    </row>
    <row r="590">
      <c r="A590" s="5" t="s">
        <v>1747</v>
      </c>
      <c r="B590" s="6" t="s">
        <v>1748</v>
      </c>
      <c r="C590" s="7" t="str">
        <f>IFERROR(__xludf.DUMMYFUNCTION("GOOGLETRANSLATE(B590, ""EN"", ""BN"")"),"একটি ব্যঙ্গাত্মক অনুকরণ")</f>
        <v>একটি ব্যঙ্গাত্মক অনুকরণ</v>
      </c>
      <c r="D590" s="8" t="s">
        <v>1749</v>
      </c>
    </row>
    <row r="591">
      <c r="A591" s="5" t="s">
        <v>1750</v>
      </c>
      <c r="B591" s="6" t="s">
        <v>1751</v>
      </c>
      <c r="C591" s="7" t="str">
        <f>IFERROR(__xludf.DUMMYFUNCTION("GOOGLETRANSLATE(B591, ""EN"", ""BN"")"),"কৃপণ")</f>
        <v>কৃপণ</v>
      </c>
      <c r="D591" s="8" t="s">
        <v>1752</v>
      </c>
    </row>
    <row r="592">
      <c r="A592" s="5" t="s">
        <v>1753</v>
      </c>
      <c r="B592" s="6" t="s">
        <v>1754</v>
      </c>
      <c r="C592" s="7" t="str">
        <f>IFERROR(__xludf.DUMMYFUNCTION("GOOGLETRANSLATE(B592, ""EN"", ""BN"")"),"যে কোনো নির্দিষ্ট ব্যক্তি, উদ্দেশ্য বা ধারণাকে সমর্থন করে")</f>
        <v>যে কোনো নির্দিষ্ট ব্যক্তি, উদ্দেশ্য বা ধারণাকে সমর্থন করে</v>
      </c>
      <c r="D592" s="8" t="s">
        <v>1755</v>
      </c>
    </row>
    <row r="593">
      <c r="A593" s="5" t="s">
        <v>1756</v>
      </c>
      <c r="B593" s="6" t="s">
        <v>1757</v>
      </c>
      <c r="C593" s="7" t="str">
        <f>IFERROR(__xludf.DUMMYFUNCTION("GOOGLETRANSLATE(B593, ""EN"", ""BN"")"),"স্পষ্ট")</f>
        <v>স্পষ্ট</v>
      </c>
      <c r="D593" s="8" t="s">
        <v>1758</v>
      </c>
    </row>
    <row r="594">
      <c r="A594" s="5" t="s">
        <v>1759</v>
      </c>
      <c r="B594" s="6" t="s">
        <v>1760</v>
      </c>
      <c r="C594" s="7" t="str">
        <f>IFERROR(__xludf.DUMMYFUNCTION("GOOGLETRANSLATE(B594, ""EN"", ""BN"")"),"পিতৃসুলভ")</f>
        <v>পিতৃসুলভ</v>
      </c>
      <c r="D594" s="8" t="s">
        <v>1761</v>
      </c>
    </row>
    <row r="595">
      <c r="A595" s="5" t="s">
        <v>1762</v>
      </c>
      <c r="B595" s="6" t="s">
        <v>1763</v>
      </c>
      <c r="C595" s="7" t="str">
        <f>IFERROR(__xludf.DUMMYFUNCTION("GOOGLETRANSLATE(B595, ""EN"", ""BN"")"),"রোগের বিজ্ঞান")</f>
        <v>রোগের বিজ্ঞান</v>
      </c>
      <c r="D595" s="8" t="s">
        <v>1764</v>
      </c>
    </row>
    <row r="596">
      <c r="A596" s="5" t="s">
        <v>1765</v>
      </c>
      <c r="B596" s="6" t="s">
        <v>1766</v>
      </c>
      <c r="C596" s="7" t="str">
        <f>IFERROR(__xludf.DUMMYFUNCTION("GOOGLETRANSLATE(B596, ""EN"", ""BN"")"),"পরিবার বা গোত্রের পুরুষ প্রধান")</f>
        <v>পরিবার বা গোত্রের পুরুষ প্রধান</v>
      </c>
      <c r="D596" s="8" t="s">
        <v>1767</v>
      </c>
    </row>
    <row r="597">
      <c r="A597" s="5" t="s">
        <v>1768</v>
      </c>
      <c r="B597" s="6" t="s">
        <v>1769</v>
      </c>
      <c r="C597" s="7" t="str">
        <f>IFERROR(__xludf.DUMMYFUNCTION("GOOGLETRANSLATE(B597, ""EN"", ""BN"")"),"একজন অভিজাত")</f>
        <v>একজন অভিজাত</v>
      </c>
      <c r="D597" s="8" t="s">
        <v>1770</v>
      </c>
    </row>
    <row r="598">
      <c r="A598" s="5" t="s">
        <v>1771</v>
      </c>
      <c r="B598" s="6" t="s">
        <v>1772</v>
      </c>
      <c r="C598" s="7" t="str">
        <f>IFERROR(__xludf.DUMMYFUNCTION("GOOGLETRANSLATE(B598, ""EN"", ""BN"")"),"নিকৃষ্ট হিসেবে গণ্য করা")</f>
        <v>নিকৃষ্ট হিসেবে গণ্য করা</v>
      </c>
      <c r="D598" s="8" t="s">
        <v>1773</v>
      </c>
    </row>
    <row r="599">
      <c r="A599" s="5" t="s">
        <v>1774</v>
      </c>
      <c r="B599" s="6" t="s">
        <v>784</v>
      </c>
      <c r="C599" s="7" t="str">
        <f>IFERROR(__xludf.DUMMYFUNCTION("GOOGLETRANSLATE(B599, ""EN"", ""BN"")"),"অভাব")</f>
        <v>অভাব</v>
      </c>
      <c r="D599" s="8" t="s">
        <v>1775</v>
      </c>
    </row>
    <row r="600">
      <c r="A600" s="5" t="s">
        <v>1776</v>
      </c>
      <c r="B600" s="6" t="s">
        <v>1777</v>
      </c>
      <c r="C600" s="7" t="str">
        <f>IFERROR(__xludf.DUMMYFUNCTION("GOOGLETRANSLATE(B600, ""EN"", ""BN"")"),"একটি ছোটখাটো অপরাধ")</f>
        <v>একটি ছোটখাটো অপরাধ</v>
      </c>
      <c r="D600" s="8" t="s">
        <v>1778</v>
      </c>
    </row>
    <row r="601">
      <c r="A601" s="5" t="s">
        <v>1779</v>
      </c>
      <c r="B601" s="6" t="s">
        <v>1780</v>
      </c>
      <c r="C601" s="7" t="str">
        <f>IFERROR(__xludf.DUMMYFUNCTION("GOOGLETRANSLATE(B601, ""EN"", ""BN"")"),"বিরক্তিকরভাবে পাণ্ডিত্যপূর্ণ বা একাডেমিক")</f>
        <v>বিরক্তিকরভাবে পাণ্ডিত্যপূর্ণ বা একাডেমিক</v>
      </c>
      <c r="D601" s="8" t="s">
        <v>1781</v>
      </c>
    </row>
    <row r="602">
      <c r="A602" s="5" t="s">
        <v>1782</v>
      </c>
      <c r="B602" s="6" t="s">
        <v>1783</v>
      </c>
      <c r="C602" s="7" t="str">
        <f>IFERROR(__xludf.DUMMYFUNCTION("GOOGLETRANSLATE(B602, ""EN"", ""BN"")"),"সাধারণ")</f>
        <v>সাধারণ</v>
      </c>
      <c r="D602" s="8" t="s">
        <v>1784</v>
      </c>
    </row>
    <row r="603">
      <c r="A603" s="5" t="s">
        <v>1785</v>
      </c>
      <c r="B603" s="6" t="s">
        <v>1786</v>
      </c>
      <c r="C603" s="7" t="str">
        <f>IFERROR(__xludf.DUMMYFUNCTION("GOOGLETRANSLATE(B603, ""EN"", ""BN"")"),"নেতিবাচক")</f>
        <v>নেতিবাচক</v>
      </c>
      <c r="D603" s="8" t="s">
        <v>1787</v>
      </c>
    </row>
    <row r="604">
      <c r="A604" s="5" t="s">
        <v>1788</v>
      </c>
      <c r="B604" s="6" t="s">
        <v>1789</v>
      </c>
      <c r="C604" s="7" t="str">
        <f>IFERROR(__xludf.DUMMYFUNCTION("GOOGLETRANSLATE(B604, ""EN"", ""BN"")"),"কোনো কিছুর প্রতি তীব্র আকর্ষণ বা পছন্দ")</f>
        <v>কোনো কিছুর প্রতি তীব্র আকর্ষণ বা পছন্দ</v>
      </c>
      <c r="D604" s="8" t="s">
        <v>1790</v>
      </c>
    </row>
    <row r="605">
      <c r="A605" s="5" t="s">
        <v>1791</v>
      </c>
      <c r="B605" s="6" t="s">
        <v>1792</v>
      </c>
      <c r="C605" s="7" t="str">
        <f>IFERROR(__xludf.DUMMYFUNCTION("GOOGLETRANSLATE(B605, ""EN"", ""BN"")"),"অনুতপ্ত")</f>
        <v>অনুতপ্ত</v>
      </c>
      <c r="D605" s="8" t="s">
        <v>1793</v>
      </c>
    </row>
    <row r="606">
      <c r="A606" s="5" t="s">
        <v>1794</v>
      </c>
      <c r="B606" s="6" t="s">
        <v>1795</v>
      </c>
      <c r="C606" s="7" t="str">
        <f>IFERROR(__xludf.DUMMYFUNCTION("GOOGLETRANSLATE(B606, ""EN"", ""BN"")"),"চিন্তাশীল এবং দুঃখজনক")</f>
        <v>চিন্তাশীল এবং দুঃখজনক</v>
      </c>
      <c r="D606" s="8" t="s">
        <v>1796</v>
      </c>
    </row>
    <row r="607">
      <c r="A607" s="5" t="s">
        <v>1797</v>
      </c>
      <c r="B607" s="6" t="s">
        <v>1798</v>
      </c>
      <c r="C607" s="7" t="str">
        <f>IFERROR(__xludf.DUMMYFUNCTION("GOOGLETRANSLATE(B607, ""EN"", ""BN"")"),"স্বৈরাচারী")</f>
        <v>স্বৈরাচারী</v>
      </c>
      <c r="D607" s="8" t="s">
        <v>1799</v>
      </c>
    </row>
    <row r="608">
      <c r="A608" s="5" t="s">
        <v>1800</v>
      </c>
      <c r="B608" s="6" t="s">
        <v>1801</v>
      </c>
      <c r="C608" s="7" t="str">
        <f>IFERROR(__xludf.DUMMYFUNCTION("GOOGLETRANSLATE(B608, ""EN"", ""BN"")"),"বারবার ঘটছে")</f>
        <v>বারবার ঘটছে</v>
      </c>
      <c r="D608" s="8" t="s">
        <v>1802</v>
      </c>
    </row>
    <row r="609">
      <c r="A609" s="5" t="s">
        <v>1803</v>
      </c>
      <c r="B609" s="6" t="s">
        <v>1804</v>
      </c>
      <c r="C609" s="7" t="str">
        <f>IFERROR(__xludf.DUMMYFUNCTION("GOOGLETRANSLATE(B609, ""EN"", ""BN"")"),"বিশ্বাসঘাতকতা")</f>
        <v>বিশ্বাসঘাতকতা</v>
      </c>
      <c r="D609" s="8" t="s">
        <v>1805</v>
      </c>
    </row>
    <row r="610">
      <c r="A610" s="5" t="s">
        <v>1806</v>
      </c>
      <c r="B610" s="6" t="s">
        <v>1807</v>
      </c>
      <c r="C610" s="7" t="str">
        <f>IFERROR(__xludf.DUMMYFUNCTION("GOOGLETRANSLATE(B610, ""EN"", ""BN"")"),"উৎসাহহীন; অসতর্ক")</f>
        <v>উৎসাহহীন; অসতর্ক</v>
      </c>
      <c r="D610" s="8" t="s">
        <v>1808</v>
      </c>
    </row>
    <row r="611">
      <c r="A611" s="5" t="s">
        <v>1809</v>
      </c>
      <c r="B611" s="6" t="s">
        <v>1810</v>
      </c>
      <c r="C611" s="7" t="str">
        <f>IFERROR(__xludf.DUMMYFUNCTION("GOOGLETRANSLATE(B611, ""EN"", ""BN"")"),"ক্রমাগত ভ্রমণ")</f>
        <v>ক্রমাগত ভ্রমণ</v>
      </c>
      <c r="D611" s="8" t="s">
        <v>1811</v>
      </c>
    </row>
    <row r="612">
      <c r="A612" s="5" t="s">
        <v>1812</v>
      </c>
      <c r="B612" s="6" t="s">
        <v>1813</v>
      </c>
      <c r="C612" s="7" t="str">
        <f>IFERROR(__xludf.DUMMYFUNCTION("GOOGLETRANSLATE(B612, ""EN"", ""BN"")"),"কোনো কিছুর বাইরের কিনারা")</f>
        <v>কোনো কিছুর বাইরের কিনারা</v>
      </c>
      <c r="D612" s="8" t="s">
        <v>1814</v>
      </c>
    </row>
    <row r="613">
      <c r="A613" s="5" t="s">
        <v>1815</v>
      </c>
      <c r="B613" s="6" t="s">
        <v>1816</v>
      </c>
      <c r="C613" s="7" t="str">
        <f>IFERROR(__xludf.DUMMYFUNCTION("GOOGLETRANSLATE(B613, ""EN"", ""BN"")"),"শপথের অধীনে মিথ্যা বলা")</f>
        <v>শপথের অধীনে মিথ্যা বলা</v>
      </c>
      <c r="D613" s="8" t="s">
        <v>1817</v>
      </c>
    </row>
    <row r="614">
      <c r="A614" s="5" t="s">
        <v>1818</v>
      </c>
      <c r="B614" s="6" t="s">
        <v>1819</v>
      </c>
      <c r="C614" s="7" t="str">
        <f>IFERROR(__xludf.DUMMYFUNCTION("GOOGLETRANSLATE(B614, ""EN"", ""BN"")"),"ভেদ করতে")</f>
        <v>ভেদ করতে</v>
      </c>
      <c r="D614" s="8" t="s">
        <v>1820</v>
      </c>
    </row>
    <row r="615">
      <c r="A615" s="5" t="s">
        <v>1821</v>
      </c>
      <c r="B615" s="6" t="s">
        <v>1822</v>
      </c>
      <c r="C615" s="7" t="str">
        <f>IFERROR(__xludf.DUMMYFUNCTION("GOOGLETRANSLATE(B615, ""EN"", ""BN"")"),"মারাত্মক")</f>
        <v>মারাত্মক</v>
      </c>
      <c r="D615" s="8" t="s">
        <v>1823</v>
      </c>
    </row>
    <row r="616">
      <c r="A616" s="5" t="s">
        <v>1824</v>
      </c>
      <c r="B616" s="6" t="s">
        <v>1825</v>
      </c>
      <c r="C616" s="7" t="str">
        <f>IFERROR(__xludf.DUMMYFUNCTION("GOOGLETRANSLATE(B616, ""EN"", ""BN"")"),"চাকরির সাথে আসা একটি বিশেষ সুবিধা")</f>
        <v>চাকরির সাথে আসা একটি বিশেষ সুবিধা</v>
      </c>
      <c r="D616" s="8" t="s">
        <v>1826</v>
      </c>
    </row>
    <row r="617">
      <c r="A617" s="5" t="s">
        <v>1827</v>
      </c>
      <c r="B617" s="6" t="s">
        <v>1828</v>
      </c>
      <c r="C617" s="7" t="str">
        <f>IFERROR(__xludf.DUMMYFUNCTION("GOOGLETRANSLATE(B617, ""EN"", ""BN"")"),"প্রাসঙ্গিক")</f>
        <v>প্রাসঙ্গিক</v>
      </c>
      <c r="D617" s="8" t="s">
        <v>1829</v>
      </c>
    </row>
    <row r="618">
      <c r="A618" s="5" t="s">
        <v>1830</v>
      </c>
      <c r="B618" s="6" t="s">
        <v>1831</v>
      </c>
      <c r="C618" s="7" t="str">
        <f>IFERROR(__xludf.DUMMYFUNCTION("GOOGLETRANSLATE(B618, ""EN"", ""BN"")"),"ব্যাপকভাবে বিরক্ত করা")</f>
        <v>ব্যাপকভাবে বিরক্ত করা</v>
      </c>
      <c r="D618" s="8" t="s">
        <v>1832</v>
      </c>
    </row>
    <row r="619">
      <c r="A619" s="5" t="s">
        <v>1833</v>
      </c>
      <c r="B619" s="6" t="s">
        <v>1834</v>
      </c>
      <c r="C619" s="7" t="str">
        <f>IFERROR(__xludf.DUMMYFUNCTION("GOOGLETRANSLATE(B619, ""EN"", ""BN"")"),"সাবধানে পড়ুন")</f>
        <v>সাবধানে পড়ুন</v>
      </c>
      <c r="D619" s="8" t="s">
        <v>1835</v>
      </c>
    </row>
    <row r="620">
      <c r="A620" s="5" t="s">
        <v>1836</v>
      </c>
      <c r="B620" s="6" t="s">
        <v>1837</v>
      </c>
      <c r="C620" s="7" t="str">
        <f>IFERROR(__xludf.DUMMYFUNCTION("GOOGLETRANSLATE(B620, ""EN"", ""BN"")"),"সর্বত্র ছড়িয়ে পড়তে")</f>
        <v>সর্বত্র ছড়িয়ে পড়তে</v>
      </c>
      <c r="D620" s="8" t="s">
        <v>1838</v>
      </c>
    </row>
    <row r="621">
      <c r="A621" s="5" t="s">
        <v>1839</v>
      </c>
      <c r="B621" s="6" t="s">
        <v>1840</v>
      </c>
      <c r="C621" s="7" t="str">
        <f>IFERROR(__xludf.DUMMYFUNCTION("GOOGLETRANSLATE(B621, ""EN"", ""BN"")"),"খিটখিটে")</f>
        <v>খিটখিটে</v>
      </c>
      <c r="D621" s="8" t="s">
        <v>1841</v>
      </c>
    </row>
    <row r="622">
      <c r="A622" s="5" t="s">
        <v>1842</v>
      </c>
      <c r="B622" s="6" t="s">
        <v>1843</v>
      </c>
      <c r="C622" s="7" t="str">
        <f>IFERROR(__xludf.DUMMYFUNCTION("GOOGLETRANSLATE(B622, ""EN"", ""BN"")"),"সৎকর্মের মাধ্যমে প্রকাশিত মানবপ্রেম")</f>
        <v>সৎকর্মের মাধ্যমে প্রকাশিত মানবপ্রেম</v>
      </c>
      <c r="D622" s="8" t="s">
        <v>1844</v>
      </c>
    </row>
    <row r="623">
      <c r="A623" s="5" t="s">
        <v>1845</v>
      </c>
      <c r="B623" s="6" t="s">
        <v>1846</v>
      </c>
      <c r="C623" s="7" t="str">
        <f>IFERROR(__xludf.DUMMYFUNCTION("GOOGLETRANSLATE(B623, ""EN"", ""BN"")"),"একজন আত্মতুষ্ট অজ্ঞ ব্যক্তি যার বৌদ্ধিক বা শৈল্পিক বিষয়ে কোনো কদর নেই।")</f>
        <v>একজন আত্মতুষ্ট অজ্ঞ ব্যক্তি যার বৌদ্ধিক বা শৈল্পিক বিষয়ে কোনো কদর নেই।</v>
      </c>
      <c r="D623" s="8" t="s">
        <v>1847</v>
      </c>
    </row>
    <row r="624">
      <c r="A624" s="5" t="s">
        <v>1848</v>
      </c>
      <c r="B624" s="6" t="s">
        <v>1849</v>
      </c>
      <c r="C624" s="7" t="str">
        <f>IFERROR(__xludf.DUMMYFUNCTION("GOOGLETRANSLATE(B624, ""EN"", ""BN"")"),"ভণ্ড")</f>
        <v>ভণ্ড</v>
      </c>
      <c r="D624" s="8" t="s">
        <v>1850</v>
      </c>
    </row>
    <row r="625">
      <c r="A625" s="5" t="s">
        <v>1851</v>
      </c>
      <c r="B625" s="6" t="s">
        <v>1852</v>
      </c>
      <c r="C625" s="7" t="str">
        <f>IFERROR(__xludf.DUMMYFUNCTION("GOOGLETRANSLATE(B625, ""EN"", ""BN"")"),"গুরুত্বপূর্ণ")</f>
        <v>গুরুত্বপূর্ণ</v>
      </c>
      <c r="D625" s="8" t="s">
        <v>1853</v>
      </c>
    </row>
    <row r="626">
      <c r="A626" s="5" t="s">
        <v>1854</v>
      </c>
      <c r="B626" s="6" t="s">
        <v>1855</v>
      </c>
      <c r="C626" s="7" t="str">
        <f>IFERROR(__xludf.DUMMYFUNCTION("GOOGLETRANSLATE(B626, ""EN"", ""BN"")"),"শান্ত করতে")</f>
        <v>শান্ত করতে</v>
      </c>
      <c r="D626" s="8" t="s">
        <v>1856</v>
      </c>
    </row>
    <row r="627">
      <c r="A627" s="5" t="s">
        <v>1857</v>
      </c>
      <c r="B627" s="6" t="s">
        <v>1858</v>
      </c>
      <c r="C627" s="7" t="str">
        <f>IFERROR(__xludf.DUMMYFUNCTION("GOOGLETRANSLATE(B627, ""EN"", ""BN"")"),"দুঃখ বা শোক প্রকাশ করা")</f>
        <v>দুঃখ বা শোক প্রকাশ করা</v>
      </c>
      <c r="D627" s="8" t="s">
        <v>1859</v>
      </c>
    </row>
    <row r="628">
      <c r="A628" s="5" t="s">
        <v>1860</v>
      </c>
      <c r="B628" s="6" t="s">
        <v>1861</v>
      </c>
      <c r="C628" s="7" t="str">
        <f>IFERROR(__xludf.DUMMYFUNCTION("GOOGLETRANSLATE(B628, ""EN"", ""BN"")"),"একটি নীরস বা মামুলি মন্তব্য")</f>
        <v>একটি নীরস বা মামুলি মন্তব্য</v>
      </c>
      <c r="D628" s="8" t="s">
        <v>1862</v>
      </c>
    </row>
    <row r="629">
      <c r="A629" s="5" t="s">
        <v>1863</v>
      </c>
      <c r="B629" s="6" t="s">
        <v>1864</v>
      </c>
      <c r="C629" s="7" t="str">
        <f>IFERROR(__xludf.DUMMYFUNCTION("GOOGLETRANSLATE(B629, ""EN"", ""BN"")"),"নিম্ন শ্রেণী")</f>
        <v>নিম্ন শ্রেণী</v>
      </c>
      <c r="D629" s="8" t="s">
        <v>1865</v>
      </c>
    </row>
    <row r="630">
      <c r="A630" s="5" t="s">
        <v>1866</v>
      </c>
      <c r="B630" s="6" t="s">
        <v>1867</v>
      </c>
      <c r="C630" s="7" t="str">
        <f>IFERROR(__xludf.DUMMYFUNCTION("GOOGLETRANSLATE(B630, ""EN"", ""BN"")"),"অতিরিক্ত")</f>
        <v>অতিরিক্ত</v>
      </c>
      <c r="D630" s="8" t="s">
        <v>1868</v>
      </c>
    </row>
    <row r="631">
      <c r="A631" s="5" t="s">
        <v>1869</v>
      </c>
      <c r="B631" s="6" t="s">
        <v>1870</v>
      </c>
      <c r="C631" s="7" t="str">
        <f>IFERROR(__xludf.DUMMYFUNCTION("GOOGLETRANSLATE(B631, ""EN"", ""BN"")"),"বেদনাদায়কভাবে আবেগপূর্ণ")</f>
        <v>বেদনাদায়কভাবে আবেগপূর্ণ</v>
      </c>
      <c r="D631" s="8" t="s">
        <v>1871</v>
      </c>
    </row>
    <row r="632">
      <c r="A632" s="5" t="s">
        <v>1872</v>
      </c>
      <c r="B632" s="6" t="s">
        <v>1873</v>
      </c>
      <c r="C632" s="7" t="str">
        <f>IFERROR(__xludf.DUMMYFUNCTION("GOOGLETRANSLATE(B632, ""EN"", ""BN"")"),"বিরোধী দল বা গোষ্ঠীতে বিভক্ত হয়ে যাওয়া")</f>
        <v>বিরোধী দল বা গোষ্ঠীতে বিভক্ত হয়ে যাওয়া</v>
      </c>
      <c r="D632" s="8" t="s">
        <v>1874</v>
      </c>
    </row>
    <row r="633">
      <c r="A633" s="5" t="s">
        <v>1875</v>
      </c>
      <c r="B633" s="6" t="s">
        <v>1876</v>
      </c>
      <c r="C633" s="7" t="str">
        <f>IFERROR(__xludf.DUMMYFUNCTION("GOOGLETRANSLATE(B633, ""EN"", ""BN"")"),"একটি শক্তিশালী যুক্তি যা প্রায়শই আক্রমণ বা খণ্ডন করার জন্য দেওয়া হয়")</f>
        <v>একটি শক্তিশালী যুক্তি যা প্রায়শই আক্রমণ বা খণ্ডন করার জন্য দেওয়া হয়</v>
      </c>
      <c r="D633" s="8" t="s">
        <v>1877</v>
      </c>
    </row>
    <row r="634">
      <c r="A634" s="5" t="s">
        <v>1878</v>
      </c>
      <c r="B634" s="6" t="s">
        <v>1879</v>
      </c>
      <c r="C634" s="7" t="str">
        <f>IFERROR(__xludf.DUMMYFUNCTION("GOOGLETRANSLATE(B634, ""EN"", ""BN"")"),"এত বড় যে আনাড়ি মনে হয়")</f>
        <v>এত বড় যে আনাড়ি মনে হয়</v>
      </c>
      <c r="D634" s="8" t="s">
        <v>1880</v>
      </c>
    </row>
    <row r="635">
      <c r="A635" s="5" t="s">
        <v>1881</v>
      </c>
      <c r="B635" s="6" t="s">
        <v>1882</v>
      </c>
      <c r="C635" s="7" t="str">
        <f>IFERROR(__xludf.DUMMYFUNCTION("GOOGLETRANSLATE(B635, ""EN"", ""BN"")"),"একটি অশুভ লক্ষণ")</f>
        <v>একটি অশুভ লক্ষণ</v>
      </c>
      <c r="D635" s="8" t="s">
        <v>1883</v>
      </c>
    </row>
    <row r="636">
      <c r="A636" s="5" t="s">
        <v>1884</v>
      </c>
      <c r="B636" s="6" t="s">
        <v>1885</v>
      </c>
      <c r="C636" s="7" t="str">
        <f>IFERROR(__xludf.DUMMYFUNCTION("GOOGLETRANSLATE(B636, ""EN"", ""BN"")"),"প্রমাণ ছাড়াই কোনো কিছু সত্য বলে মেনে নেওয়া হয়")</f>
        <v>প্রমাণ ছাড়াই কোনো কিছু সত্য বলে মেনে নেওয়া হয়</v>
      </c>
      <c r="D636" s="8" t="s">
        <v>1886</v>
      </c>
    </row>
    <row r="637">
      <c r="A637" s="5" t="s">
        <v>1887</v>
      </c>
      <c r="B637" s="6" t="s">
        <v>1078</v>
      </c>
      <c r="C637" s="7" t="str">
        <f>IFERROR(__xludf.DUMMYFUNCTION("GOOGLETRANSLATE(B637, ""EN"", ""BN"")"),"ব্যবহারিক")</f>
        <v>ব্যবহারিক</v>
      </c>
      <c r="D637" s="8" t="s">
        <v>1888</v>
      </c>
    </row>
    <row r="638">
      <c r="A638" s="5" t="s">
        <v>1889</v>
      </c>
      <c r="B638" s="6" t="s">
        <v>1890</v>
      </c>
      <c r="C638" s="7" t="str">
        <f>IFERROR(__xludf.DUMMYFUNCTION("GOOGLETRANSLATE(B638, ""EN"", ""BN"")"),"কোনো কিছুর পূর্ববর্তী উদাহরণ বা মডেল")</f>
        <v>কোনো কিছুর পূর্ববর্তী উদাহরণ বা মডেল</v>
      </c>
      <c r="D638" s="8" t="s">
        <v>1891</v>
      </c>
    </row>
    <row r="639">
      <c r="A639" s="5" t="s">
        <v>1892</v>
      </c>
      <c r="B639" s="6" t="s">
        <v>1893</v>
      </c>
      <c r="C639" s="7" t="str">
        <f>IFERROR(__xludf.DUMMYFUNCTION("GOOGLETRANSLATE(B639, ""EN"", ""BN"")"),"জীবনযাপনের একটি নিয়ম")</f>
        <v>জীবনযাপনের একটি নিয়ম</v>
      </c>
      <c r="D639" s="8" t="s">
        <v>1894</v>
      </c>
    </row>
    <row r="640">
      <c r="A640" s="5" t="s">
        <v>1895</v>
      </c>
      <c r="B640" s="6" t="s">
        <v>1896</v>
      </c>
      <c r="C640" s="7" t="str">
        <f>IFERROR(__xludf.DUMMYFUNCTION("GOOGLETRANSLATE(B640, ""EN"", ""BN"")"),"হঠাৎ করে ঘটাতে")</f>
        <v>হঠাৎ করে ঘটাতে</v>
      </c>
      <c r="D640" s="8" t="s">
        <v>1897</v>
      </c>
    </row>
    <row r="641">
      <c r="A641" s="5" t="s">
        <v>1898</v>
      </c>
      <c r="B641" s="6" t="s">
        <v>1899</v>
      </c>
      <c r="C641" s="7" t="str">
        <f>IFERROR(__xludf.DUMMYFUNCTION("GOOGLETRANSLATE(B641, ""EN"", ""BN"")"),"খাড়া")</f>
        <v>খাড়া</v>
      </c>
      <c r="D641" s="8" t="s">
        <v>1900</v>
      </c>
    </row>
    <row r="642">
      <c r="A642" s="5" t="s">
        <v>1901</v>
      </c>
      <c r="B642" s="6" t="s">
        <v>1902</v>
      </c>
      <c r="C642" s="7" t="str">
        <f>IFERROR(__xludf.DUMMYFUNCTION("GOOGLETRANSLATE(B642, ""EN"", ""BN"")"),"কোনো কিছু ঘটা থেকে প্রতিরোধ করা")</f>
        <v>কোনো কিছু ঘটা থেকে প্রতিরোধ করা</v>
      </c>
      <c r="D642" s="8" t="s">
        <v>1903</v>
      </c>
    </row>
    <row r="643">
      <c r="A643" s="5" t="s">
        <v>1904</v>
      </c>
      <c r="B643" s="6" t="s">
        <v>1905</v>
      </c>
      <c r="C643" s="7" t="str">
        <f>IFERROR(__xludf.DUMMYFUNCTION("GOOGLETRANSLATE(B643, ""EN"", ""BN"")"),"এমন কিছু যা আগে ঘটে এবং পরবর্তী সবকিছুর পূর্বাভাস দেয় বা পথ তৈরি করে দেয়।")</f>
        <v>এমন কিছু যা আগে ঘটে এবং পরবর্তী সবকিছুর পূর্বাভাস দেয় বা পথ তৈরি করে দেয়।</v>
      </c>
      <c r="D643" s="8" t="s">
        <v>1906</v>
      </c>
    </row>
    <row r="644">
      <c r="A644" s="5" t="s">
        <v>1907</v>
      </c>
      <c r="B644" s="6" t="s">
        <v>1908</v>
      </c>
      <c r="C644" s="7" t="str">
        <f>IFERROR(__xludf.DUMMYFUNCTION("GOOGLETRANSLATE(B644, ""EN"", ""BN"")"),"কোনো কিছুর প্রতি স্বাভাবিক পছন্দ")</f>
        <v>কোনো কিছুর প্রতি স্বাভাবিক পছন্দ</v>
      </c>
      <c r="D644" s="8" t="s">
        <v>1909</v>
      </c>
    </row>
    <row r="645">
      <c r="A645" s="5" t="s">
        <v>1910</v>
      </c>
      <c r="B645" s="6" t="s">
        <v>1911</v>
      </c>
      <c r="C645" s="7" t="str">
        <f>IFERROR(__xludf.DUMMYFUNCTION("GOOGLETRANSLATE(B645, ""EN"", ""BN"")"),"সবার চেয়ে ভালো; অসাধারণ")</f>
        <v>সবার চেয়ে ভালো; অসাধারণ</v>
      </c>
      <c r="D645" s="8" t="s">
        <v>1912</v>
      </c>
    </row>
    <row r="646">
      <c r="A646" s="5" t="s">
        <v>1913</v>
      </c>
      <c r="B646" s="6" t="s">
        <v>1914</v>
      </c>
      <c r="C646" s="7" t="str">
        <f>IFERROR(__xludf.DUMMYFUNCTION("GOOGLETRANSLATE(B646, ""EN"", ""BN"")"),"পূর্বাধিকারবলে কোনো কিছু দখল করা")</f>
        <v>পূর্বাধিকারবলে কোনো কিছু দখল করা</v>
      </c>
      <c r="D646" s="8" t="s">
        <v>1915</v>
      </c>
    </row>
    <row r="647">
      <c r="A647" s="5" t="s">
        <v>1916</v>
      </c>
      <c r="B647" s="6" t="s">
        <v>1917</v>
      </c>
      <c r="C647" s="7" t="str">
        <f>IFERROR(__xludf.DUMMYFUNCTION("GOOGLETRANSLATE(B647, ""EN"", ""BN"")"),"একটি অনুমান")</f>
        <v>একটি অনুমান</v>
      </c>
      <c r="D647" s="8" t="s">
        <v>1918</v>
      </c>
    </row>
    <row r="648">
      <c r="A648" s="5" t="s">
        <v>1919</v>
      </c>
      <c r="B648" s="6" t="s">
        <v>1920</v>
      </c>
      <c r="C648" s="7" t="str">
        <f>IFERROR(__xludf.DUMMYFUNCTION("GOOGLETRANSLATE(B648, ""EN"", ""BN"")"),"আগে থেকেই ভালো ধারণা তৈরি করতে")</f>
        <v>আগে থেকেই ভালো ধারণা তৈরি করতে</v>
      </c>
      <c r="D648" s="8" t="s">
        <v>1921</v>
      </c>
    </row>
    <row r="649">
      <c r="A649" s="5" t="s">
        <v>1922</v>
      </c>
      <c r="B649" s="6" t="s">
        <v>1923</v>
      </c>
      <c r="C649" s="7" t="str">
        <f>IFERROR(__xludf.DUMMYFUNCTION("GOOGLETRANSLATE(B649, ""EN"", ""BN"")"),"একটি অধিকার বা বিশেষ সুবিধা
যা শুধুমাত্র একটি পদের সাথে সম্পর্কিত")</f>
        <v>একটি অধিকার বা বিশেষ সুবিধা
যা শুধুমাত্র একটি পদের সাথে সম্পর্কিত</v>
      </c>
      <c r="D649" s="8" t="s">
        <v>1924</v>
      </c>
    </row>
    <row r="650">
      <c r="A650" s="5" t="s">
        <v>1925</v>
      </c>
      <c r="B650" s="6" t="s">
        <v>1926</v>
      </c>
      <c r="C650" s="7" t="str">
        <f>IFERROR(__xludf.DUMMYFUNCTION("GOOGLETRANSLATE(B650, ""EN"", ""BN"")"),"বিজয় লাভ করতে")</f>
        <v>বিজয় লাভ করতে</v>
      </c>
      <c r="D650" s="8" t="s">
        <v>1927</v>
      </c>
    </row>
    <row r="651">
      <c r="A651" s="5" t="s">
        <v>1928</v>
      </c>
      <c r="B651" s="6" t="s">
        <v>1929</v>
      </c>
      <c r="C651" s="7" t="str">
        <f>IFERROR(__xludf.DUMMYFUNCTION("GOOGLETRANSLATE(B651, ""EN"", ""BN"")"),"অক্ষত")</f>
        <v>অক্ষত</v>
      </c>
      <c r="D651" s="8" t="s">
        <v>1930</v>
      </c>
    </row>
    <row r="652">
      <c r="A652" s="5" t="s">
        <v>1931</v>
      </c>
      <c r="B652" s="6" t="s">
        <v>1932</v>
      </c>
      <c r="C652" s="7" t="str">
        <f>IFERROR(__xludf.DUMMYFUNCTION("GOOGLETRANSLATE(B652, ""EN"", ""BN"")"),"অপচয়মূলকভাবে অমিতব্যয়ী")</f>
        <v>অপচয়মূলকভাবে অমিতব্যয়ী</v>
      </c>
      <c r="D652" s="8" t="s">
        <v>1933</v>
      </c>
    </row>
    <row r="653">
      <c r="A653" s="5" t="s">
        <v>1934</v>
      </c>
      <c r="B653" s="6" t="s">
        <v>1935</v>
      </c>
      <c r="C653" s="7" t="str">
        <f>IFERROR(__xludf.DUMMYFUNCTION("GOOGLETRANSLATE(B653, ""EN"", ""BN"")"),"অসাধারণ; বিশাল")</f>
        <v>অসাধারণ; বিশাল</v>
      </c>
      <c r="D653" s="8" t="s">
        <v>1936</v>
      </c>
    </row>
    <row r="654">
      <c r="A654" s="5" t="s">
        <v>1937</v>
      </c>
      <c r="B654" s="6" t="s">
        <v>1938</v>
      </c>
      <c r="C654" s="7" t="str">
        <f>IFERROR(__xludf.DUMMYFUNCTION("GOOGLETRANSLATE(B654, ""EN"", ""BN"")"),"একটি অসাধারণ কৃতিত্ব বা ঘটনা")</f>
        <v>একটি অসাধারণ কৃতিত্ব বা ঘটনা</v>
      </c>
      <c r="D654" s="8" t="s">
        <v>1939</v>
      </c>
    </row>
    <row r="655">
      <c r="A655" s="5" t="s">
        <v>1940</v>
      </c>
      <c r="B655" s="6" t="s">
        <v>1941</v>
      </c>
      <c r="C655" s="7" t="str">
        <f>IFERROR(__xludf.DUMMYFUNCTION("GOOGLETRANSLATE(B655, ""EN"", ""BN"")"),"ধর্মের সাথে সম্পর্কহীন")</f>
        <v>ধর্মের সাথে সম্পর্কহীন</v>
      </c>
      <c r="D655" s="8" t="s">
        <v>1942</v>
      </c>
    </row>
    <row r="656">
      <c r="A656" s="5" t="s">
        <v>1943</v>
      </c>
      <c r="B656" s="6" t="s">
        <v>1944</v>
      </c>
      <c r="C656" s="7" t="str">
        <f>IFERROR(__xludf.DUMMYFUNCTION("GOOGLETRANSLATE(B656, ""EN"", ""BN"")"),"মিথ্যা ঘোষণা করা বা ভান করা")</f>
        <v>মিথ্যা ঘোষণা করা বা ভান করা</v>
      </c>
      <c r="D656" s="8" t="s">
        <v>1945</v>
      </c>
    </row>
    <row r="657">
      <c r="A657" s="5" t="s">
        <v>1946</v>
      </c>
      <c r="B657" s="6" t="s">
        <v>155</v>
      </c>
      <c r="C657" s="7" t="str">
        <f>IFERROR(__xludf.DUMMYFUNCTION("GOOGLETRANSLATE(B657, ""EN"", ""BN"")"),"দক্ষ")</f>
        <v>দক্ষ</v>
      </c>
      <c r="D657" s="8" t="s">
        <v>1947</v>
      </c>
    </row>
    <row r="658">
      <c r="A658" s="5" t="s">
        <v>1948</v>
      </c>
      <c r="B658" s="6" t="s">
        <v>1949</v>
      </c>
      <c r="C658" s="7" t="str">
        <f>IFERROR(__xludf.DUMMYFUNCTION("GOOGLETRANSLATE(B658, ""EN"", ""BN"")"),"অতিরিক্ত অপচয়কারী এবং সাধারণত চরমভাবে অনৈতিক")</f>
        <v>অতিরিক্ত অপচয়কারী এবং সাধারণত চরমভাবে অনৈতিক</v>
      </c>
      <c r="D658" s="8" t="s">
        <v>1950</v>
      </c>
    </row>
    <row r="659">
      <c r="A659" s="5" t="s">
        <v>1951</v>
      </c>
      <c r="B659" s="6" t="s">
        <v>1952</v>
      </c>
      <c r="C659" s="7" t="str">
        <f>IFERROR(__xludf.DUMMYFUNCTION("GOOGLETRANSLATE(B659, ""EN"", ""BN"")"),"গভীর")</f>
        <v>গভীর</v>
      </c>
      <c r="D659" s="8" t="s">
        <v>1953</v>
      </c>
    </row>
    <row r="660">
      <c r="A660" s="5" t="s">
        <v>1954</v>
      </c>
      <c r="B660" s="6" t="s">
        <v>1955</v>
      </c>
      <c r="C660" s="7" t="str">
        <f>IFERROR(__xludf.DUMMYFUNCTION("GOOGLETRANSLATE(B660, ""EN"", ""BN"")"),"প্রবাহিত; অমিতব্যয়ী")</f>
        <v>প্রবাহিত; অমিতব্যয়ী</v>
      </c>
      <c r="D660" s="8" t="s">
        <v>1956</v>
      </c>
    </row>
    <row r="661">
      <c r="A661" s="5" t="s">
        <v>1957</v>
      </c>
      <c r="B661" s="6" t="s">
        <v>1958</v>
      </c>
      <c r="C661" s="7" t="str">
        <f>IFERROR(__xludf.DUMMYFUNCTION("GOOGLETRANSLATE(B661, ""EN"", ""BN"")"),"শিল্প শ্রমিক শ্রেণী")</f>
        <v>শিল্প শ্রমিক শ্রেণী</v>
      </c>
      <c r="D661" s="8" t="s">
        <v>1959</v>
      </c>
    </row>
    <row r="662">
      <c r="A662" s="5" t="s">
        <v>1960</v>
      </c>
      <c r="B662" s="6" t="s">
        <v>1961</v>
      </c>
      <c r="C662" s="7" t="str">
        <f>IFERROR(__xludf.DUMMYFUNCTION("GOOGLETRANSLATE(B662, ""EN"", ""BN"")"),"দ্রুত ছড়িয়ে পড়া বা বৃদ্ধি পাওয়া")</f>
        <v>দ্রুত ছড়িয়ে পড়া বা বৃদ্ধি পাওয়া</v>
      </c>
      <c r="D662" s="8" t="s">
        <v>1962</v>
      </c>
    </row>
    <row r="663">
      <c r="A663" s="5" t="s">
        <v>1963</v>
      </c>
      <c r="B663" s="6" t="s">
        <v>1964</v>
      </c>
      <c r="C663" s="7" t="str">
        <f>IFERROR(__xludf.DUMMYFUNCTION("GOOGLETRANSLATE(B663, ""EN"", ""BN"")"),"প্রচুর উৎপাদনশীল")</f>
        <v>প্রচুর উৎপাদনশীল</v>
      </c>
      <c r="D663" s="8" t="s">
        <v>1965</v>
      </c>
    </row>
    <row r="664">
      <c r="A664" s="5" t="s">
        <v>1966</v>
      </c>
      <c r="B664" s="6" t="s">
        <v>1967</v>
      </c>
      <c r="C664" s="7" t="str">
        <f>IFERROR(__xludf.DUMMYFUNCTION("GOOGLETRANSLATE(B664, ""EN"", ""BN"")"),"প্রকাশ্যে বা আনুষ্ঠানিকভাবে কোনো কিছু ঘোষণা করা")</f>
        <v>প্রকাশ্যে বা আনুষ্ঠানিকভাবে কোনো কিছু ঘোষণা করা</v>
      </c>
      <c r="D664" s="8" t="s">
        <v>1968</v>
      </c>
    </row>
    <row r="665">
      <c r="A665" s="5" t="s">
        <v>1969</v>
      </c>
      <c r="B665" s="6" t="s">
        <v>1970</v>
      </c>
      <c r="C665" s="7" t="str">
        <f>IFERROR(__xludf.DUMMYFUNCTION("GOOGLETRANSLATE(B665, ""EN"", ""BN"")"),"একটি স্বাভাবিক প্রবণতা বা ঝোঁক")</f>
        <v>একটি স্বাভাবিক প্রবণতা বা ঝোঁক</v>
      </c>
      <c r="D665" s="8" t="s">
        <v>1971</v>
      </c>
    </row>
    <row r="666">
      <c r="A666" s="5" t="s">
        <v>1972</v>
      </c>
      <c r="B666" s="6" t="s">
        <v>1973</v>
      </c>
      <c r="C666" s="7" t="str">
        <f>IFERROR(__xludf.DUMMYFUNCTION("GOOGLETRANSLATE(B666, ""EN"", ""BN"")"),"অনুকূল লক্ষণ বা পরিস্থিতি দ্বারা চিহ্নিত")</f>
        <v>অনুকূল লক্ষণ বা পরিস্থিতি দ্বারা চিহ্নিত</v>
      </c>
      <c r="D666" s="8" t="s">
        <v>1974</v>
      </c>
    </row>
    <row r="667">
      <c r="A667" s="5" t="s">
        <v>1975</v>
      </c>
      <c r="B667" s="6" t="s">
        <v>1976</v>
      </c>
      <c r="C667" s="7" t="str">
        <f>IFERROR(__xludf.DUMMYFUNCTION("GOOGLETRANSLATE(B667, ""EN"", ""BN"")"),"একজন আইনজীবী")</f>
        <v>একজন আইনজীবী</v>
      </c>
      <c r="D667" s="8" t="s">
        <v>1977</v>
      </c>
    </row>
    <row r="668">
      <c r="A668" s="5" t="s">
        <v>1978</v>
      </c>
      <c r="B668" s="6" t="s">
        <v>1979</v>
      </c>
      <c r="C668" s="7" t="str">
        <f>IFERROR(__xludf.DUMMYFUNCTION("GOOGLETRANSLATE(B668, ""EN"", ""BN"")"),"সম্পত্তির মালিকের বৈশিষ্ট্য")</f>
        <v>সম্পত্তির মালিকের বৈশিষ্ট্য</v>
      </c>
      <c r="D668" s="8" t="s">
        <v>1980</v>
      </c>
    </row>
    <row r="669">
      <c r="A669" s="5" t="s">
        <v>1981</v>
      </c>
      <c r="B669" s="6" t="s">
        <v>1982</v>
      </c>
      <c r="C669" s="7" t="str">
        <f>IFERROR(__xludf.DUMMYFUNCTION("GOOGLETRANSLATE(B669, ""EN"", ""BN"")"),"ভালো আচরণ")</f>
        <v>ভালো আচরণ</v>
      </c>
      <c r="D669" s="8" t="s">
        <v>1983</v>
      </c>
    </row>
    <row r="670">
      <c r="A670" s="5" t="s">
        <v>1984</v>
      </c>
      <c r="B670" s="6" t="s">
        <v>1985</v>
      </c>
      <c r="C670" s="7" t="str">
        <f>IFERROR(__xludf.DUMMYFUNCTION("GOOGLETRANSLATE(B670, ""EN"", ""BN"")"),"কল্পনাশক্তিহীন")</f>
        <v>কল্পনাশক্তিহীন</v>
      </c>
      <c r="D670" s="8" t="s">
        <v>1986</v>
      </c>
    </row>
    <row r="671">
      <c r="A671" s="5" t="s">
        <v>1987</v>
      </c>
      <c r="B671" s="6" t="s">
        <v>1988</v>
      </c>
      <c r="C671" s="7" t="str">
        <f>IFERROR(__xludf.DUMMYFUNCTION("GOOGLETRANSLATE(B671, ""EN"", ""BN"")"),"নিষিদ্ধ করতে")</f>
        <v>নিষিদ্ধ করতে</v>
      </c>
      <c r="D671" s="8" t="s">
        <v>1989</v>
      </c>
    </row>
    <row r="672">
      <c r="A672" s="5" t="s">
        <v>1990</v>
      </c>
      <c r="B672" s="6" t="s">
        <v>1991</v>
      </c>
      <c r="C672" s="7" t="str">
        <f>IFERROR(__xludf.DUMMYFUNCTION("GOOGLETRANSLATE(B672, ""EN"", ""BN"")"),"এক ধর্ম বা মতবাদ থেকে অন্য ধর্মে বা মতবাদে ধর্মান্তরিত হওয়া")</f>
        <v>এক ধর্ম বা মতবাদ থেকে অন্য ধর্মে বা মতবাদে ধর্মান্তরিত হওয়া</v>
      </c>
      <c r="D672" s="8" t="s">
        <v>1992</v>
      </c>
    </row>
    <row r="673">
      <c r="A673" s="5" t="s">
        <v>1993</v>
      </c>
      <c r="B673" s="6" t="s">
        <v>1994</v>
      </c>
      <c r="C673" s="7" t="str">
        <f>IFERROR(__xludf.DUMMYFUNCTION("GOOGLETRANSLATE(B673, ""EN"", ""BN"")"),"উপন্যাস, নাটক বা অন্য কোনো রচনার প্রধান চরিত্র")</f>
        <v>উপন্যাস, নাটক বা অন্য কোনো রচনার প্রধান চরিত্র</v>
      </c>
      <c r="D673" s="8" t="s">
        <v>1995</v>
      </c>
    </row>
    <row r="674">
      <c r="A674" s="5" t="s">
        <v>1996</v>
      </c>
      <c r="B674" s="6" t="s">
        <v>1997</v>
      </c>
      <c r="C674" s="7" t="str">
        <f>IFERROR(__xludf.DUMMYFUNCTION("GOOGLETRANSLATE(B674, ""EN"", ""BN"")"),"দীর্ঘায়িত করতে")</f>
        <v>দীর্ঘায়িত করতে</v>
      </c>
      <c r="D674" s="8" t="s">
        <v>1998</v>
      </c>
    </row>
    <row r="675">
      <c r="A675" s="5" t="s">
        <v>1999</v>
      </c>
      <c r="B675" s="6" t="s">
        <v>2000</v>
      </c>
      <c r="C675" s="7" t="str">
        <f>IFERROR(__xludf.DUMMYFUNCTION("GOOGLETRANSLATE(B675, ""EN"", ""BN"")"),"ভবিষ্যতের জন্য প্রস্তুতি")</f>
        <v>ভবিষ্যতের জন্য প্রস্তুতি</v>
      </c>
      <c r="D675" s="8" t="s">
        <v>2001</v>
      </c>
    </row>
    <row r="676">
      <c r="A676" s="5" t="s">
        <v>2002</v>
      </c>
      <c r="B676" s="6" t="s">
        <v>2003</v>
      </c>
      <c r="C676" s="7" t="str">
        <f>IFERROR(__xludf.DUMMYFUNCTION("GOOGLETRANSLATE(B676, ""EN"", ""BN"")"),"সংকীর্ণ")</f>
        <v>সংকীর্ণ</v>
      </c>
      <c r="D676" s="8" t="s">
        <v>2004</v>
      </c>
    </row>
    <row r="677">
      <c r="A677" s="5" t="s">
        <v>2005</v>
      </c>
      <c r="B677" s="6" t="s">
        <v>2006</v>
      </c>
      <c r="C677" s="7" t="str">
        <f>IFERROR(__xludf.DUMMYFUNCTION("GOOGLETRANSLATE(B677, ""EN"", ""BN"")"),"শর্তসাপেক্ষ")</f>
        <v>শর্তসাপেক্ষ</v>
      </c>
      <c r="D677" s="8" t="s">
        <v>2007</v>
      </c>
    </row>
    <row r="678">
      <c r="A678" s="5" t="s">
        <v>2008</v>
      </c>
      <c r="B678" s="6" t="s">
        <v>2009</v>
      </c>
      <c r="C678" s="7" t="str">
        <f>IFERROR(__xludf.DUMMYFUNCTION("GOOGLETRANSLATE(B678, ""EN"", ""BN"")"),"নৈকট্য")</f>
        <v>নৈকট্য</v>
      </c>
      <c r="D678" s="8" t="s">
        <v>2010</v>
      </c>
    </row>
    <row r="679">
      <c r="A679" s="5" t="s">
        <v>2011</v>
      </c>
      <c r="B679" s="6" t="s">
        <v>2012</v>
      </c>
      <c r="C679" s="7" t="str">
        <f>IFERROR(__xludf.DUMMYFUNCTION("GOOGLETRANSLATE(B679, ""EN"", ""BN"")"),"সতর্ক; দূরদৃষ্টিসম্পন্ন")</f>
        <v>সতর্ক; দূরদৃষ্টিসম্পন্ন</v>
      </c>
      <c r="D679" s="8" t="s">
        <v>2013</v>
      </c>
    </row>
    <row r="680">
      <c r="A680" s="5" t="s">
        <v>2014</v>
      </c>
      <c r="B680" s="6" t="s">
        <v>2015</v>
      </c>
      <c r="C680" s="7" t="str">
        <f>IFERROR(__xludf.DUMMYFUNCTION("GOOGLETRANSLATE(B680, ""EN"", ""BN"")"),"গুজব; দাবি করা হয়েছে")</f>
        <v>গুজব; দাবি করা হয়েছে</v>
      </c>
      <c r="D680" s="8" t="s">
        <v>2016</v>
      </c>
    </row>
    <row r="681">
      <c r="A681" s="5" t="s">
        <v>2017</v>
      </c>
      <c r="B681" s="6" t="s">
        <v>2018</v>
      </c>
      <c r="C681" s="7" t="str">
        <f>IFERROR(__xludf.DUMMYFUNCTION("GOOGLETRANSLATE(B681, ""EN"", ""BN"")"),"সাধারণভাবে গৃহীত")</f>
        <v>সাধারণভাবে গৃহীত</v>
      </c>
      <c r="D681" s="8" t="s">
        <v>2019</v>
      </c>
    </row>
    <row r="682">
      <c r="A682" s="5" t="s">
        <v>2020</v>
      </c>
      <c r="B682" s="6" t="s">
        <v>2021</v>
      </c>
      <c r="C682" s="7" t="str">
        <f>IFERROR(__xludf.DUMMYFUNCTION("GOOGLETRANSLATE(B682, ""EN"", ""BN"")"),"পরিবর্তন বা সীমাবদ্ধ করতে")</f>
        <v>পরিবর্তন বা সীমাবদ্ধ করতে</v>
      </c>
      <c r="D682" s="8" t="s">
        <v>2022</v>
      </c>
    </row>
    <row r="683">
      <c r="A683" s="5" t="s">
        <v>2023</v>
      </c>
      <c r="B683" s="6" t="s">
        <v>2024</v>
      </c>
      <c r="C683" s="7" t="str">
        <f>IFERROR(__xludf.DUMMYFUNCTION("GOOGLETRANSLATE(B683, ""EN"", ""BN"")"),"গুণমান বা এই জাতীয় কিছুর সাথে সম্পর্কিত")</f>
        <v>গুণমান বা এই জাতীয় কিছুর সাথে সম্পর্কিত</v>
      </c>
      <c r="D683" s="8" t="s">
        <v>2025</v>
      </c>
    </row>
    <row r="684">
      <c r="A684" s="5" t="s">
        <v>2026</v>
      </c>
      <c r="B684" s="6" t="s">
        <v>2027</v>
      </c>
      <c r="C684" s="7" t="str">
        <f>IFERROR(__xludf.DUMMYFUNCTION("GOOGLETRANSLATE(B684, ""EN"", ""BN"")"),"অভিযোগ করা")</f>
        <v>অভিযোগ করা</v>
      </c>
      <c r="D684" s="8" t="s">
        <v>2028</v>
      </c>
    </row>
    <row r="685">
      <c r="A685" s="5" t="s">
        <v>2029</v>
      </c>
      <c r="B685" s="6" t="s">
        <v>2030</v>
      </c>
      <c r="C685" s="7" t="str">
        <f>IFERROR(__xludf.DUMMYFUNCTION("GOOGLETRANSLATE(B685, ""EN"", ""BN"")"),"নির্বোধের মতো রোমান্টিক বা আদর্শবাদী")</f>
        <v>নির্বোধের মতো রোমান্টিক বা আদর্শবাদী</v>
      </c>
      <c r="D685" s="8" t="s">
        <v>2031</v>
      </c>
    </row>
    <row r="686">
      <c r="A686" s="5" t="s">
        <v>2032</v>
      </c>
      <c r="B686" s="6" t="s">
        <v>2033</v>
      </c>
      <c r="C686" s="7" t="str">
        <f>IFERROR(__xludf.DUMMYFUNCTION("GOOGLETRANSLATE(B686, ""EN"", ""BN"")"),"একটি পরিণতি")</f>
        <v>একটি পরিণতি</v>
      </c>
      <c r="D686" s="8" t="s">
        <v>2034</v>
      </c>
    </row>
    <row r="687">
      <c r="A687" s="5" t="s">
        <v>2035</v>
      </c>
      <c r="B687" s="6" t="s">
        <v>2036</v>
      </c>
      <c r="C687" s="7" t="str">
        <f>IFERROR(__xludf.DUMMYFUNCTION("GOOGLETRANSLATE(B687, ""EN"", ""BN"")"),"তিক্ত, দীর্ঘস্থায়ী ক্ষোভ")</f>
        <v>তিক্ত, দীর্ঘস্থায়ী ক্ষোভ</v>
      </c>
      <c r="D687" s="8" t="s">
        <v>2037</v>
      </c>
    </row>
    <row r="688">
      <c r="A688" s="5" t="s">
        <v>2038</v>
      </c>
      <c r="B688" s="6" t="s">
        <v>107</v>
      </c>
      <c r="C688" s="7" t="str">
        <f>IFERROR(__xludf.DUMMYFUNCTION("GOOGLETRANSLATE(B688, ""EN"", ""BN"")"),"লোভী")</f>
        <v>লোভী</v>
      </c>
      <c r="D688" s="8" t="s">
        <v>2039</v>
      </c>
    </row>
    <row r="689">
      <c r="A689" s="5" t="s">
        <v>2040</v>
      </c>
      <c r="B689" s="6" t="s">
        <v>2041</v>
      </c>
      <c r="C689" s="7" t="str">
        <f>IFERROR(__xludf.DUMMYFUNCTION("GOOGLETRANSLATE(B689, ""EN"", ""BN"")"),"তীব্রভাবে সমালোচনা করা")</f>
        <v>তীব্রভাবে সমালোচনা করা</v>
      </c>
      <c r="D689" s="8" t="s">
        <v>2042</v>
      </c>
    </row>
    <row r="690">
      <c r="A690" s="5" t="s">
        <v>2043</v>
      </c>
      <c r="B690" s="6" t="s">
        <v>2044</v>
      </c>
      <c r="C690" s="7" t="str">
        <f>IFERROR(__xludf.DUMMYFUNCTION("GOOGLETRANSLATE(B690, ""EN"", ""BN"")"),"বিরোধিতা করে যুক্তি দেওয়া")</f>
        <v>বিরোধিতা করে যুক্তি দেওয়া</v>
      </c>
      <c r="D690" s="8" t="s">
        <v>2045</v>
      </c>
    </row>
    <row r="691">
      <c r="A691" s="5" t="s">
        <v>2046</v>
      </c>
      <c r="B691" s="6" t="s">
        <v>1440</v>
      </c>
      <c r="C691" s="7" t="str">
        <f>IFERROR(__xludf.DUMMYFUNCTION("GOOGLETRANSLATE(B691, ""EN"", ""BN"")"),"অবাধ্য")</f>
        <v>অবাধ্য</v>
      </c>
      <c r="D691" s="8" t="s">
        <v>2047</v>
      </c>
    </row>
    <row r="692">
      <c r="A692" s="5" t="s">
        <v>2048</v>
      </c>
      <c r="B692" s="6" t="s">
        <v>2049</v>
      </c>
      <c r="C692" s="7" t="str">
        <f>IFERROR(__xludf.DUMMYFUNCTION("GOOGLETRANSLATE(B692, ""EN"", ""BN"")"),"প্রকাশ্যে ভুল স্বীকার করা")</f>
        <v>প্রকাশ্যে ভুল স্বীকার করা</v>
      </c>
      <c r="D692" s="8" t="s">
        <v>2050</v>
      </c>
    </row>
    <row r="693">
      <c r="A693" s="5" t="s">
        <v>2051</v>
      </c>
      <c r="B693" s="6" t="s">
        <v>2052</v>
      </c>
      <c r="C693" s="7" t="str">
        <f>IFERROR(__xludf.DUMMYFUNCTION("GOOGLETRANSLATE(B693, ""EN"", ""BN"")"),"বিনিময়যোগ্য")</f>
        <v>বিনিময়যোগ্য</v>
      </c>
      <c r="D693" s="8" t="s">
        <v>2053</v>
      </c>
    </row>
    <row r="694">
      <c r="A694" s="5" t="s">
        <v>2054</v>
      </c>
      <c r="B694" s="6" t="s">
        <v>2055</v>
      </c>
      <c r="C694" s="7" t="str">
        <f>IFERROR(__xludf.DUMMYFUNCTION("GOOGLETRANSLATE(B694, ""EN"", ""BN"")"),"সমাজ থেকে বিচ্ছিন্ন")</f>
        <v>সমাজ থেকে বিচ্ছিন্ন</v>
      </c>
      <c r="D694" s="8" t="s">
        <v>2056</v>
      </c>
    </row>
    <row r="695">
      <c r="A695" s="5" t="s">
        <v>2057</v>
      </c>
      <c r="B695" s="6" t="s">
        <v>1031</v>
      </c>
      <c r="C695" s="7" t="str">
        <f>IFERROR(__xludf.DUMMYFUNCTION("GOOGLETRANSLATE(B695, ""EN"", ""BN"")"),"বোঝা কঠিন")</f>
        <v>বোঝা কঠিন</v>
      </c>
      <c r="D695" s="8" t="s">
        <v>2058</v>
      </c>
    </row>
    <row r="696">
      <c r="A696" s="5" t="s">
        <v>2059</v>
      </c>
      <c r="B696" s="6" t="s">
        <v>2060</v>
      </c>
      <c r="C696" s="7" t="str">
        <f>IFERROR(__xludf.DUMMYFUNCTION("GOOGLETRANSLATE(B696, ""EN"", ""BN"")"),"একটি তিক্ত পাল্টা অভিযোগ")</f>
        <v>একটি তিক্ত পাল্টা অভিযোগ</v>
      </c>
      <c r="D696" s="8" t="s">
        <v>2061</v>
      </c>
    </row>
    <row r="697">
      <c r="A697" s="5" t="s">
        <v>2062</v>
      </c>
      <c r="B697" s="6" t="s">
        <v>2063</v>
      </c>
      <c r="C697" s="7" t="str">
        <f>IFERROR(__xludf.DUMMYFUNCTION("GOOGLETRANSLATE(B697, ""EN"", ""BN"")"),"সুগন্ধি")</f>
        <v>সুগন্ধি</v>
      </c>
      <c r="D697" s="8" t="s">
        <v>2064</v>
      </c>
    </row>
    <row r="698">
      <c r="A698" s="5" t="s">
        <v>2065</v>
      </c>
      <c r="B698" s="6" t="s">
        <v>2066</v>
      </c>
      <c r="C698" s="7" t="str">
        <f>IFERROR(__xludf.DUMMYFUNCTION("GOOGLETRANSLATE(B698, ""EN"", ""BN"")"),"অপ্রয়োজনীয়ভাবে পুনরাবৃত্তিমূলক")</f>
        <v>অপ্রয়োজনীয়ভাবে পুনরাবৃত্তিমূলক</v>
      </c>
      <c r="D698" s="8" t="s">
        <v>2067</v>
      </c>
    </row>
    <row r="699">
      <c r="A699" s="5" t="s">
        <v>2068</v>
      </c>
      <c r="B699" s="6" t="s">
        <v>2069</v>
      </c>
      <c r="C699" s="7" t="str">
        <f>IFERROR(__xludf.DUMMYFUNCTION("GOOGLETRANSLATE(B699, ""EN"", ""BN"")"),"অপ্রমাণ করতে")</f>
        <v>অপ্রমাণ করতে</v>
      </c>
      <c r="D699" s="8" t="s">
        <v>2070</v>
      </c>
    </row>
    <row r="700">
      <c r="A700" s="5" t="s">
        <v>2071</v>
      </c>
      <c r="B700" s="6" t="s">
        <v>2072</v>
      </c>
      <c r="C700" s="7" t="str">
        <f>IFERROR(__xludf.DUMMYFUNCTION("GOOGLETRANSLATE(B700, ""EN"", ""BN"")"),"পুনরাবৃত্তি করতে")</f>
        <v>পুনরাবৃত্তি করতে</v>
      </c>
      <c r="D700" s="8" t="s">
        <v>2073</v>
      </c>
    </row>
    <row r="701">
      <c r="A701" s="5" t="s">
        <v>2074</v>
      </c>
      <c r="B701" s="6" t="s">
        <v>2075</v>
      </c>
      <c r="C701" s="7" t="str">
        <f>IFERROR(__xludf.DUMMYFUNCTION("GOOGLETRANSLATE(B701, ""EN"", ""BN"")"),"নির্বাসিত করতে")</f>
        <v>নির্বাসিত করতে</v>
      </c>
      <c r="D701" s="8" t="s">
        <v>2076</v>
      </c>
    </row>
    <row r="702">
      <c r="A702" s="5" t="s">
        <v>2077</v>
      </c>
      <c r="B702" s="6" t="s">
        <v>2078</v>
      </c>
      <c r="C702" s="7" t="str">
        <f>IFERROR(__xludf.DUMMYFUNCTION("GOOGLETRANSLATE(B702, ""EN"", ""BN"")"),"অপ্রতিরোধ্য")</f>
        <v>অপ্রতিরোধ্য</v>
      </c>
      <c r="D702" s="8" t="s">
        <v>2079</v>
      </c>
    </row>
    <row r="703">
      <c r="A703" s="5" t="s">
        <v>2080</v>
      </c>
      <c r="B703" s="6" t="s">
        <v>513</v>
      </c>
      <c r="C703" s="7" t="str">
        <f>IFERROR(__xludf.DUMMYFUNCTION("GOOGLETRANSLATE(B703, ""EN"", ""BN"")"),"আত্মসমর্পণ করতে")</f>
        <v>আত্মসমর্পণ করতে</v>
      </c>
      <c r="D703" s="8" t="s">
        <v>2081</v>
      </c>
    </row>
    <row r="704">
      <c r="A704" s="5" t="s">
        <v>2082</v>
      </c>
      <c r="B704" s="6" t="s">
        <v>2083</v>
      </c>
      <c r="C704" s="7" t="str">
        <f>IFERROR(__xludf.DUMMYFUNCTION("GOOGLETRANSLATE(B704, ""EN"", ""BN"")"),"বিরুদ্ধে যুক্তি দিতে")</f>
        <v>বিরুদ্ধে যুক্তি দিতে</v>
      </c>
      <c r="D704" s="8" t="s">
        <v>2084</v>
      </c>
    </row>
    <row r="705">
      <c r="A705" s="5" t="s">
        <v>2085</v>
      </c>
      <c r="B705" s="6" t="s">
        <v>2086</v>
      </c>
      <c r="C705" s="7" t="str">
        <f>IFERROR(__xludf.DUMMYFUNCTION("GOOGLETRANSLATE(B705, ""EN"", ""BN"")"),"পুনর্জন্ম বা পুনরুজ্জীবন")</f>
        <v>পুনর্জন্ম বা পুনরুজ্জীবন</v>
      </c>
      <c r="D705" s="8" t="s">
        <v>2087</v>
      </c>
    </row>
    <row r="706">
      <c r="A706" s="5" t="s">
        <v>2088</v>
      </c>
      <c r="B706" s="6" t="s">
        <v>2089</v>
      </c>
      <c r="C706" s="7" t="str">
        <f>IFERROR(__xludf.DUMMYFUNCTION("GOOGLETRANSLATE(B706, ""EN"", ""BN"")"),"আনুষ্ঠানিকভাবে ত্যাগ করা বা পদত্যাগ করা")</f>
        <v>আনুষ্ঠানিকভাবে ত্যাগ করা বা পদত্যাগ করা</v>
      </c>
      <c r="D706" s="8" t="s">
        <v>2090</v>
      </c>
    </row>
    <row r="707">
      <c r="A707" s="5" t="s">
        <v>2091</v>
      </c>
      <c r="B707" s="6" t="s">
        <v>2092</v>
      </c>
      <c r="C707" s="7" t="str">
        <f>IFERROR(__xludf.DUMMYFUNCTION("GOOGLETRANSLATE(B707, ""EN"", ""BN"")"),"ক্ষতিপূরণ")</f>
        <v>ক্ষতিপূরণ</v>
      </c>
      <c r="D707" s="8" t="s">
        <v>2093</v>
      </c>
    </row>
    <row r="708">
      <c r="A708" s="5" t="s">
        <v>2094</v>
      </c>
      <c r="B708" s="6" t="s">
        <v>2095</v>
      </c>
      <c r="C708" s="7" t="str">
        <f>IFERROR(__xludf.DUMMYFUNCTION("GOOGLETRANSLATE(B708, ""EN"", ""BN"")"),"একটি পরোক্ষ প্রভাব")</f>
        <v>একটি পরোক্ষ প্রভাব</v>
      </c>
      <c r="D708" s="8" t="s">
        <v>2096</v>
      </c>
    </row>
    <row r="709">
      <c r="A709" s="5" t="s">
        <v>2097</v>
      </c>
      <c r="B709" s="6" t="s">
        <v>2098</v>
      </c>
      <c r="C709" s="7" t="str">
        <f>IFERROR(__xludf.DUMMYFUNCTION("GOOGLETRANSLATE(B709, ""EN"", ""BN"")"),"আবার পূরণ করতে")</f>
        <v>আবার পূরণ করতে</v>
      </c>
      <c r="D709" s="8" t="s">
        <v>2099</v>
      </c>
    </row>
    <row r="710">
      <c r="A710" s="5" t="s">
        <v>2100</v>
      </c>
      <c r="B710" s="6" t="s">
        <v>2101</v>
      </c>
      <c r="C710" s="7" t="str">
        <f>IFERROR(__xludf.DUMMYFUNCTION("GOOGLETRANSLATE(B710, ""EN"", ""BN"")"),"সম্পূর্ণরূপে ভরা")</f>
        <v>সম্পূর্ণরূপে ভরা</v>
      </c>
      <c r="D710" s="8" t="s">
        <v>2102</v>
      </c>
    </row>
    <row r="711">
      <c r="A711" s="5" t="s">
        <v>2103</v>
      </c>
      <c r="B711" s="6" t="s">
        <v>2104</v>
      </c>
      <c r="C711" s="7" t="str">
        <f>IFERROR(__xludf.DUMMYFUNCTION("GOOGLETRANSLATE(B711, ""EN"", ""BN"")"),"নিন্দা বা তিরস্কারের যোগ্য")</f>
        <v>নিন্দা বা তিরস্কারের যোগ্য</v>
      </c>
      <c r="D711" s="8" t="s">
        <v>2105</v>
      </c>
    </row>
    <row r="712">
      <c r="A712" s="5" t="s">
        <v>2106</v>
      </c>
      <c r="B712" s="6" t="s">
        <v>2107</v>
      </c>
      <c r="C712" s="7" t="str">
        <f>IFERROR(__xludf.DUMMYFUNCTION("GOOGLETRANSLATE(B712, ""EN"", ""BN"")"),"অন্যের প্রতিশোধ নিতে গৃহীত সামরিক অভিযান")</f>
        <v>অন্যের প্রতিশোধ নিতে গৃহীত সামরিক অভিযান</v>
      </c>
      <c r="D712" s="8" t="s">
        <v>2108</v>
      </c>
    </row>
    <row r="713">
      <c r="A713" s="5" t="s">
        <v>2109</v>
      </c>
      <c r="B713" s="6" t="s">
        <v>2110</v>
      </c>
      <c r="C713" s="7" t="str">
        <f>IFERROR(__xludf.DUMMYFUNCTION("GOOGLETRANSLATE(B713, ""EN"", ""BN"")"),"সাধারণত হতাশ হয়ে বকা দেওয়া")</f>
        <v>সাধারণত হতাশ হয়ে বকা দেওয়া</v>
      </c>
      <c r="D713" s="8" t="s">
        <v>2111</v>
      </c>
    </row>
    <row r="714">
      <c r="A714" s="5" t="s">
        <v>2112</v>
      </c>
      <c r="B714" s="6" t="s">
        <v>2113</v>
      </c>
      <c r="C714" s="7" t="str">
        <f>IFERROR(__xludf.DUMMYFUNCTION("GOOGLETRANSLATE(B714, ""EN"", ""BN"")"),"মৃদুভাবে সমালোচনা করা")</f>
        <v>মৃদুভাবে সমালোচনা করা</v>
      </c>
      <c r="D714" s="8" t="s">
        <v>2114</v>
      </c>
    </row>
    <row r="715">
      <c r="A715" s="5" t="s">
        <v>2115</v>
      </c>
      <c r="B715" s="6" t="s">
        <v>35</v>
      </c>
      <c r="C715" s="7" t="str">
        <f>IFERROR(__xludf.DUMMYFUNCTION("GOOGLETRANSLATE(B715, ""EN"", ""BN"")"),"প্রত্যাখ্যান করতে")</f>
        <v>প্রত্যাখ্যান করতে</v>
      </c>
      <c r="D715" s="8" t="s">
        <v>2116</v>
      </c>
    </row>
    <row r="716">
      <c r="A716" s="5" t="s">
        <v>2117</v>
      </c>
      <c r="B716" s="6" t="s">
        <v>2118</v>
      </c>
      <c r="C716" s="7" t="str">
        <f>IFERROR(__xludf.DUMMYFUNCTION("GOOGLETRANSLATE(B716, ""EN"", ""BN"")"),"প্রয়োজনীয়")</f>
        <v>প্রয়োজনীয়</v>
      </c>
      <c r="D716" s="8" t="s">
        <v>2119</v>
      </c>
    </row>
    <row r="717">
      <c r="A717" s="5" t="s">
        <v>2120</v>
      </c>
      <c r="B717" s="6" t="s">
        <v>2121</v>
      </c>
      <c r="C717" s="7" t="str">
        <f>IFERROR(__xludf.DUMMYFUNCTION("GOOGLETRANSLATE(B717, ""EN"", ""BN"")"),"দৃঢ়প্রতিজ্ঞ")</f>
        <v>দৃঢ়প্রতিজ্ঞ</v>
      </c>
      <c r="D717" s="8" t="s">
        <v>2122</v>
      </c>
    </row>
    <row r="718">
      <c r="A718" s="5" t="s">
        <v>2123</v>
      </c>
      <c r="B718" s="6" t="s">
        <v>2124</v>
      </c>
      <c r="C718" s="7" t="str">
        <f>IFERROR(__xludf.DUMMYFUNCTION("GOOGLETRANSLATE(B718, ""EN"", ""BN"")"),"বিশ্রাম বা স্বস্তির একটি সময়কাল")</f>
        <v>বিশ্রাম বা স্বস্তির একটি সময়কাল</v>
      </c>
      <c r="D718" s="8" t="s">
        <v>2125</v>
      </c>
    </row>
    <row r="719">
      <c r="A719" s="5" t="s">
        <v>2126</v>
      </c>
      <c r="B719" s="6" t="s">
        <v>2127</v>
      </c>
      <c r="C719" s="7" t="str">
        <f>IFERROR(__xludf.DUMMYFUNCTION("GOOGLETRANSLATE(B719, ""EN"", ""BN"")"),"কথা বলতে অনিচ্ছুক, বিশেষ করে নিজের সম্পর্কে।")</f>
        <v>কথা বলতে অনিচ্ছুক, বিশেষ করে নিজের সম্পর্কে।</v>
      </c>
      <c r="D719" s="8" t="s">
        <v>2128</v>
      </c>
    </row>
    <row r="720">
      <c r="A720" s="5" t="s">
        <v>2129</v>
      </c>
      <c r="B720" s="6" t="s">
        <v>2130</v>
      </c>
      <c r="C720" s="7" t="str">
        <f>IFERROR(__xludf.DUMMYFUNCTION("GOOGLETRANSLATE(B720, ""EN"", ""BN"")"),"উচ্চ সম্মান করা")</f>
        <v>উচ্চ সম্মান করা</v>
      </c>
      <c r="D720" s="8" t="s">
        <v>2131</v>
      </c>
    </row>
    <row r="721">
      <c r="A721" s="5" t="s">
        <v>2132</v>
      </c>
      <c r="B721" s="6" t="s">
        <v>2133</v>
      </c>
      <c r="C721" s="7" t="str">
        <f>IFERROR(__xludf.DUMMYFUNCTION("GOOGLETRANSLATE(B721, ""EN"", ""BN"")"),"আনুষ্ঠানিক বক্তৃতা বা লেখার শিল্প")</f>
        <v>আনুষ্ঠানিক বক্তৃতা বা লেখার শিল্প</v>
      </c>
      <c r="D721" s="8" t="s">
        <v>2134</v>
      </c>
    </row>
    <row r="722">
      <c r="A722" s="5" t="s">
        <v>2135</v>
      </c>
      <c r="B722" s="6" t="s">
        <v>2136</v>
      </c>
      <c r="C722" s="7" t="str">
        <f>IFERROR(__xludf.DUMMYFUNCTION("GOOGLETRANSLATE(B722, ""EN"", ""BN"")"),"গুরুতর")</f>
        <v>গুরুতর</v>
      </c>
      <c r="D722" s="8" t="s">
        <v>2137</v>
      </c>
    </row>
    <row r="723">
      <c r="A723" s="5" t="s">
        <v>2138</v>
      </c>
      <c r="B723" s="6" t="s">
        <v>2139</v>
      </c>
      <c r="C723" s="7" t="str">
        <f>IFERROR(__xludf.DUMMYFUNCTION("GOOGLETRANSLATE(B723, ""EN"", ""BN"")"),"শক্তিশালী এবং স্বাস্থ্যকর")</f>
        <v>শক্তিশালী এবং স্বাস্থ্যকর</v>
      </c>
      <c r="D723" s="8" t="s">
        <v>2140</v>
      </c>
    </row>
    <row r="724">
      <c r="A724" s="5" t="s">
        <v>2141</v>
      </c>
      <c r="B724" s="6" t="s">
        <v>2142</v>
      </c>
      <c r="C724" s="7" t="str">
        <f>IFERROR(__xludf.DUMMYFUNCTION("GOOGLETRANSLATE(B724, ""EN"", ""BN"")"),"এমন কেউ যাকে বিশ্বাস করা যায় না")</f>
        <v>এমন কেউ যাকে বিশ্বাস করা যায় না</v>
      </c>
      <c r="D724" s="8" t="s">
        <v>2143</v>
      </c>
    </row>
    <row r="725">
      <c r="A725" s="5" t="s">
        <v>2144</v>
      </c>
      <c r="B725" s="6" t="s">
        <v>2145</v>
      </c>
      <c r="C725" s="7" t="str">
        <f>IFERROR(__xludf.DUMMYFUNCTION("GOOGLETRANSLATE(B725, ""EN"", ""BN"")"),"মৌলিক; অনুন্নত")</f>
        <v>মৌলিক; অনুন্নত</v>
      </c>
      <c r="D725" s="8" t="s">
        <v>2146</v>
      </c>
    </row>
    <row r="726">
      <c r="A726" s="5" t="s">
        <v>2147</v>
      </c>
      <c r="B726" s="6" t="s">
        <v>2148</v>
      </c>
      <c r="C726" s="7" t="str">
        <f>IFERROR(__xludf.DUMMYFUNCTION("GOOGLETRANSLATE(B726, ""EN"", ""BN"")"),"চিন্তা করতে")</f>
        <v>চিন্তা করতে</v>
      </c>
      <c r="D726" s="8" t="s">
        <v>2149</v>
      </c>
    </row>
    <row r="727">
      <c r="A727" s="5" t="s">
        <v>2150</v>
      </c>
      <c r="B727" s="6" t="s">
        <v>2151</v>
      </c>
      <c r="C727" s="7" t="str">
        <f>IFERROR(__xludf.DUMMYFUNCTION("GOOGLETRANSLATE(B727, ""EN"", ""BN"")"),"আদিম")</f>
        <v>আদিম</v>
      </c>
      <c r="D727" s="8" t="s">
        <v>2152</v>
      </c>
    </row>
    <row r="728">
      <c r="A728" s="5" t="s">
        <v>2153</v>
      </c>
      <c r="B728" s="6" t="s">
        <v>2154</v>
      </c>
      <c r="C728" s="7" t="str">
        <f>IFERROR(__xludf.DUMMYFUNCTION("GOOGLETRANSLATE(B728, ""EN"", ""BN"")"),"অতিরিক্ত বা বিরক্তিকরভাবে মিষ্টি")</f>
        <v>অতিরিক্ত বা বিরক্তিকরভাবে মিষ্টি</v>
      </c>
      <c r="D728" s="8" t="s">
        <v>2155</v>
      </c>
    </row>
    <row r="729">
      <c r="A729" s="5" t="s">
        <v>2156</v>
      </c>
      <c r="B729" s="6" t="s">
        <v>2157</v>
      </c>
      <c r="C729" s="7" t="str">
        <f>IFERROR(__xludf.DUMMYFUNCTION("GOOGLETRANSLATE(B729, ""EN"", ""BN"")"),"ধর্মদ্রোহিতা")</f>
        <v>ধর্মদ্রোহিতা</v>
      </c>
      <c r="D729" s="8" t="s">
        <v>2158</v>
      </c>
    </row>
    <row r="730">
      <c r="A730" s="5" t="s">
        <v>2159</v>
      </c>
      <c r="B730" s="6" t="s">
        <v>2160</v>
      </c>
      <c r="C730" s="7" t="str">
        <f>IFERROR(__xludf.DUMMYFUNCTION("GOOGLETRANSLATE(B730, ""EN"", ""BN"")"),"পবিত্র")</f>
        <v>পবিত্র</v>
      </c>
      <c r="D730" s="8" t="s">
        <v>2161</v>
      </c>
    </row>
    <row r="731">
      <c r="A731" s="5" t="s">
        <v>2162</v>
      </c>
      <c r="B731" s="6" t="s">
        <v>2163</v>
      </c>
      <c r="C731" s="7" t="str">
        <f>IFERROR(__xludf.DUMMYFUNCTION("GOOGLETRANSLATE(B731, ""EN"", ""BN"")"),"জ্ঞানী")</f>
        <v>জ্ঞানী</v>
      </c>
      <c r="D731" s="8" t="s">
        <v>2164</v>
      </c>
    </row>
    <row r="732">
      <c r="A732" s="5" t="s">
        <v>2165</v>
      </c>
      <c r="B732" s="6" t="s">
        <v>2166</v>
      </c>
      <c r="C732" s="7" t="str">
        <f>IFERROR(__xludf.DUMMYFUNCTION("GOOGLETRANSLATE(B732, ""EN"", ""BN"")"),"আলাদা হয়ে দাঁড়ানো")</f>
        <v>আলাদা হয়ে দাঁড়ানো</v>
      </c>
      <c r="D732" s="8" t="s">
        <v>2167</v>
      </c>
    </row>
    <row r="733">
      <c r="A733" s="5" t="s">
        <v>2168</v>
      </c>
      <c r="B733" s="6" t="s">
        <v>2169</v>
      </c>
      <c r="C733" s="7" t="str">
        <f>IFERROR(__xludf.DUMMYFUNCTION("GOOGLETRANSLATE(B733, ""EN"", ""BN"")"),"আরোগ্যমূলক; স্বাস্থ্যকর")</f>
        <v>আরোগ্যমূলক; স্বাস্থ্যকর</v>
      </c>
      <c r="D733" s="8" t="s">
        <v>2170</v>
      </c>
    </row>
    <row r="734">
      <c r="A734" s="5" t="s">
        <v>2171</v>
      </c>
      <c r="B734" s="6" t="s">
        <v>2172</v>
      </c>
      <c r="C734" s="7" t="str">
        <f>IFERROR(__xludf.DUMMYFUNCTION("GOOGLETRANSLATE(B734, ""EN"", ""BN"")"),"ধর্মীয় অনুভূতিকে প্রভাবিত করা")</f>
        <v>ধর্মীয় অনুভূতিকে প্রভাবিত করা</v>
      </c>
      <c r="D734" s="8" t="s">
        <v>2173</v>
      </c>
    </row>
    <row r="735">
      <c r="A735" s="5" t="s">
        <v>2174</v>
      </c>
      <c r="B735" s="6" t="s">
        <v>2175</v>
      </c>
      <c r="C735" s="7" t="str">
        <f>IFERROR(__xludf.DUMMYFUNCTION("GOOGLETRANSLATE(B735, ""EN"", ""BN"")"),"আশাবাদী")</f>
        <v>আশাবাদী</v>
      </c>
      <c r="D735" s="8" t="s">
        <v>2176</v>
      </c>
    </row>
    <row r="736">
      <c r="A736" s="5" t="s">
        <v>2177</v>
      </c>
      <c r="B736" s="6" t="s">
        <v>2178</v>
      </c>
      <c r="C736" s="7" t="str">
        <f>IFERROR(__xludf.DUMMYFUNCTION("GOOGLETRANSLATE(B736, ""EN"", ""BN"")"),"উপহাস")</f>
        <v>উপহাস</v>
      </c>
      <c r="D736" s="8" t="s">
        <v>2179</v>
      </c>
    </row>
    <row r="737">
      <c r="A737" s="5" t="s">
        <v>2180</v>
      </c>
      <c r="B737" s="6" t="s">
        <v>2181</v>
      </c>
      <c r="C737" s="7" t="str">
        <f>IFERROR(__xludf.DUMMYFUNCTION("GOOGLETRANSLATE(B737, ""EN"", ""BN"")"),"আক্ষরিক বা রূপক অর্থে ঝলমল করা")</f>
        <v>আক্ষরিক বা রূপক অর্থে ঝলমল করা</v>
      </c>
      <c r="D737" s="8" t="s">
        <v>2182</v>
      </c>
    </row>
    <row r="738">
      <c r="A738" s="5" t="s">
        <v>2183</v>
      </c>
      <c r="B738" s="6" t="s">
        <v>2184</v>
      </c>
      <c r="C738" s="7" t="str">
        <f>IFERROR(__xludf.DUMMYFUNCTION("GOOGLETRANSLATE(B738, ""EN"", ""BN"")"),"নৈতিক কারণে দ্বিধাগ্রস্ত")</f>
        <v>নৈতিক কারণে দ্বিধাগ্রস্ত</v>
      </c>
      <c r="D738" s="8" t="s">
        <v>2185</v>
      </c>
    </row>
    <row r="739">
      <c r="A739" s="5" t="s">
        <v>2186</v>
      </c>
      <c r="B739" s="6" t="s">
        <v>2187</v>
      </c>
      <c r="C739" s="7" t="str">
        <f>IFERROR(__xludf.DUMMYFUNCTION("GOOGLETRANSLATE(B739, ""EN"", ""BN"")"),"খুব সাবধানে পরীক্ষা করতে")</f>
        <v>খুব সাবধানে পরীক্ষা করতে</v>
      </c>
      <c r="D739" s="8" t="s">
        <v>2188</v>
      </c>
    </row>
    <row r="740">
      <c r="A740" s="5" t="s">
        <v>2189</v>
      </c>
      <c r="B740" s="6" t="s">
        <v>2190</v>
      </c>
      <c r="C740" s="7" t="str">
        <f>IFERROR(__xludf.DUMMYFUNCTION("GOOGLETRANSLATE(B740, ""EN"", ""BN"")"),"ধর্ম বা আধ্যাত্মিক বিষয়ের সাথে কোনো সম্পর্ক নেই")</f>
        <v>ধর্ম বা আধ্যাত্মিক বিষয়ের সাথে কোনো সম্পর্ক নেই</v>
      </c>
      <c r="D740" s="8" t="s">
        <v>2191</v>
      </c>
    </row>
    <row r="741">
      <c r="A741" s="5" t="s">
        <v>2192</v>
      </c>
      <c r="B741" s="6" t="s">
        <v>2193</v>
      </c>
      <c r="C741" s="7" t="str">
        <f>IFERROR(__xludf.DUMMYFUNCTION("GOOGLETRANSLATE(B741, ""EN"", ""BN"")"),"জনশৃঙ্খলা বিঘ্নিত করা বা বিদ্রোহকে উৎসাহিত করা")</f>
        <v>জনশৃঙ্খলা বিঘ্নিত করা বা বিদ্রোহকে উৎসাহিত করা</v>
      </c>
      <c r="D741" s="8" t="s">
        <v>2194</v>
      </c>
    </row>
    <row r="742">
      <c r="A742" s="5" t="s">
        <v>2195</v>
      </c>
      <c r="B742" s="6" t="s">
        <v>2196</v>
      </c>
      <c r="C742" s="7" t="str">
        <f>IFERROR(__xludf.DUMMYFUNCTION("GOOGLETRANSLATE(B742, ""EN"", ""BN"")"),"ইন্দ্রিয় বা সংবেদনের সাথে সম্পর্কিত")</f>
        <v>ইন্দ্রিয় বা সংবেদনের সাথে সম্পর্কিত</v>
      </c>
      <c r="D742" s="8" t="s">
        <v>2197</v>
      </c>
    </row>
    <row r="743">
      <c r="A743" s="5" t="s">
        <v>2198</v>
      </c>
      <c r="B743" s="6" t="s">
        <v>2199</v>
      </c>
      <c r="C743" s="7" t="str">
        <f>IFERROR(__xludf.DUMMYFUNCTION("GOOGLETRANSLATE(B743, ""EN"", ""BN"")"),"সচেতন")</f>
        <v>সচেতন</v>
      </c>
      <c r="D743" s="8" t="s">
        <v>2200</v>
      </c>
    </row>
    <row r="744">
      <c r="A744" s="5" t="s">
        <v>2201</v>
      </c>
      <c r="B744" s="6" t="s">
        <v>2202</v>
      </c>
      <c r="C744" s="7" t="str">
        <f>IFERROR(__xludf.DUMMYFUNCTION("GOOGLETRANSLATE(B744, ""EN"", ""BN"")"),"স্থাপন করা বা আলাদা রাখা")</f>
        <v>স্থাপন করা বা আলাদা রাখা</v>
      </c>
      <c r="D744" s="8" t="s">
        <v>2203</v>
      </c>
    </row>
    <row r="745">
      <c r="A745" s="5" t="s">
        <v>2204</v>
      </c>
      <c r="B745" s="6" t="s">
        <v>2205</v>
      </c>
      <c r="C745" s="7" t="str">
        <f>IFERROR(__xludf.DUMMYFUNCTION("GOOGLETRANSLATE(B745, ""EN"", ""BN"")"),"আকস্মিক সৌভাগ্য")</f>
        <v>আকস্মিক সৌভাগ্য</v>
      </c>
      <c r="D745" s="8" t="s">
        <v>2206</v>
      </c>
    </row>
    <row r="746">
      <c r="A746" s="5" t="s">
        <v>2207</v>
      </c>
      <c r="B746" s="6" t="s">
        <v>2208</v>
      </c>
      <c r="C746" s="7" t="str">
        <f>IFERROR(__xludf.DUMMYFUNCTION("GOOGLETRANSLATE(B746, ""EN"", ""BN"")"),"একজন ভৃত্যের মতো")</f>
        <v>একজন ভৃত্যের মতো</v>
      </c>
      <c r="D746" s="8" t="s">
        <v>2209</v>
      </c>
    </row>
    <row r="747">
      <c r="A747" s="5" t="s">
        <v>2210</v>
      </c>
      <c r="B747" s="6" t="s">
        <v>2211</v>
      </c>
      <c r="C747" s="7" t="str">
        <f>IFERROR(__xludf.DUMMYFUNCTION("GOOGLETRANSLATE(B747, ""EN"", ""BN"")"),"অনন্য")</f>
        <v>অনন্য</v>
      </c>
      <c r="D747" s="8" t="s">
        <v>2212</v>
      </c>
    </row>
    <row r="748">
      <c r="A748" s="5" t="s">
        <v>2213</v>
      </c>
      <c r="B748" s="6" t="s">
        <v>2214</v>
      </c>
      <c r="C748" s="7" t="str">
        <f>IFERROR(__xludf.DUMMYFUNCTION("GOOGLETRANSLATE(B748, ""EN"", ""BN"")"),"প্রকাশ্যে কারো সম্পর্কে খারাপ কথা বলা")</f>
        <v>প্রকাশ্যে কারো সম্পর্কে খারাপ কথা বলা</v>
      </c>
      <c r="D748" s="8" t="s">
        <v>2215</v>
      </c>
    </row>
    <row r="749">
      <c r="A749" s="5" t="s">
        <v>2216</v>
      </c>
      <c r="B749" s="6" t="s">
        <v>2217</v>
      </c>
      <c r="C749" s="7" t="str">
        <f>IFERROR(__xludf.DUMMYFUNCTION("GOOGLETRANSLATE(B749, ""EN"", ""BN"")"),"অলসতা")</f>
        <v>অলসতা</v>
      </c>
      <c r="D749" s="8" t="s">
        <v>2218</v>
      </c>
    </row>
    <row r="750">
      <c r="A750" s="5" t="s">
        <v>2219</v>
      </c>
      <c r="B750" s="6" t="s">
        <v>2220</v>
      </c>
      <c r="C750" s="7" t="str">
        <f>IFERROR(__xludf.DUMMYFUNCTION("GOOGLETRANSLATE(B750, ""EN"", ""BN"")"),"সংযত অবস্থা; গাম্ভীর্য")</f>
        <v>সংযত অবস্থা; গাম্ভীর্য</v>
      </c>
      <c r="D750" s="8" t="s">
        <v>2221</v>
      </c>
    </row>
    <row r="751">
      <c r="A751" s="5" t="s">
        <v>2222</v>
      </c>
      <c r="B751" s="6" t="s">
        <v>2223</v>
      </c>
      <c r="C751" s="7" t="str">
        <f>IFERROR(__xludf.DUMMYFUNCTION("GOOGLETRANSLATE(B751, ""EN"", ""BN"")"),"উদ্বিগ্নভাবে যত্নশীল বা মনোযোগী")</f>
        <v>উদ্বিগ্নভাবে যত্নশীল বা মনোযোগী</v>
      </c>
      <c r="D751" s="8" t="s">
        <v>2224</v>
      </c>
    </row>
    <row r="752">
      <c r="A752" s="5" t="s">
        <v>2225</v>
      </c>
      <c r="B752" s="6" t="s">
        <v>2226</v>
      </c>
      <c r="C752" s="7" t="str">
        <f>IFERROR(__xludf.DUMMYFUNCTION("GOOGLETRANSLATE(B752, ""EN"", ""BN"")"),"দেউলিয়া বা দেউলিয়া নয়")</f>
        <v>দেউলিয়া বা দেউলিয়া নয়</v>
      </c>
      <c r="D752" s="8" t="s">
        <v>2227</v>
      </c>
    </row>
    <row r="753">
      <c r="A753" s="5" t="s">
        <v>2228</v>
      </c>
      <c r="B753" s="6" t="s">
        <v>2229</v>
      </c>
      <c r="C753" s="7" t="str">
        <f>IFERROR(__xludf.DUMMYFUNCTION("GOOGLETRANSLATE(B753, ""EN"", ""BN"")"),"অত্যন্ত বিরক্তিকর")</f>
        <v>অত্যন্ত বিরক্তিকর</v>
      </c>
      <c r="D753" s="8" t="s">
        <v>2230</v>
      </c>
    </row>
    <row r="754">
      <c r="A754" s="5" t="s">
        <v>2231</v>
      </c>
      <c r="B754" s="6" t="s">
        <v>2232</v>
      </c>
      <c r="C754" s="7" t="str">
        <f>IFERROR(__xludf.DUMMYFUNCTION("GOOGLETRANSLATE(B754, ""EN"", ""BN"")"),"নোংরা")</f>
        <v>নোংরা</v>
      </c>
      <c r="D754" s="8" t="s">
        <v>2233</v>
      </c>
    </row>
    <row r="755">
      <c r="A755" s="5" t="s">
        <v>2234</v>
      </c>
      <c r="B755" s="6" t="s">
        <v>2235</v>
      </c>
      <c r="C755" s="7" t="str">
        <f>IFERROR(__xludf.DUMMYFUNCTION("GOOGLETRANSLATE(B755, ""EN"", ""BN"")"),"উৎপন্ন করা; বিপুল সংখ্যায় উৎপাদন করা")</f>
        <v>উৎপন্ন করা; বিপুল সংখ্যায় উৎপাদন করা</v>
      </c>
      <c r="D755" s="8" t="s">
        <v>2236</v>
      </c>
    </row>
    <row r="756">
      <c r="A756" s="5" t="s">
        <v>2237</v>
      </c>
      <c r="B756" s="6" t="s">
        <v>2238</v>
      </c>
      <c r="C756" s="7" t="str">
        <f>IFERROR(__xludf.DUMMYFUNCTION("GOOGLETRANSLATE(B756, ""EN"", ""BN"")"),"প্রতারণামূলকভাবে বিশ্বাসযোগ্য বা আকর্ষণীয়")</f>
        <v>প্রতারণামূলকভাবে বিশ্বাসযোগ্য বা আকর্ষণীয়</v>
      </c>
      <c r="D756" s="8" t="s">
        <v>2239</v>
      </c>
    </row>
    <row r="757">
      <c r="A757" s="5" t="s">
        <v>2240</v>
      </c>
      <c r="B757" s="6" t="s">
        <v>2241</v>
      </c>
      <c r="C757" s="7" t="str">
        <f>IFERROR(__xludf.DUMMYFUNCTION("GOOGLETRANSLATE(B757, ""EN"", ""BN"")"),"মাঝে মাঝে হঠাৎ করে ঘটে")</f>
        <v>মাঝে মাঝে হঠাৎ করে ঘটে</v>
      </c>
      <c r="D757" s="8" t="s">
        <v>2242</v>
      </c>
    </row>
    <row r="758">
      <c r="A758" s="5" t="s">
        <v>2243</v>
      </c>
      <c r="B758" s="6" t="s">
        <v>2244</v>
      </c>
      <c r="C758" s="7" t="str">
        <f>IFERROR(__xludf.DUMMYFUNCTION("GOOGLETRANSLATE(B758, ""EN"", ""BN"")"),"নকল")</f>
        <v>নকল</v>
      </c>
      <c r="D758" s="8" t="s">
        <v>2245</v>
      </c>
    </row>
    <row r="759">
      <c r="A759" s="5" t="s">
        <v>2246</v>
      </c>
      <c r="B759" s="6" t="s">
        <v>2247</v>
      </c>
      <c r="C759" s="7" t="str">
        <f>IFERROR(__xludf.DUMMYFUNCTION("GOOGLETRANSLATE(B759, ""EN"", ""BN"")"),"নোংরামি")</f>
        <v>নোংরামি</v>
      </c>
      <c r="D759" s="8" t="s">
        <v>2248</v>
      </c>
    </row>
    <row r="760">
      <c r="A760" s="5" t="s">
        <v>2249</v>
      </c>
      <c r="B760" s="6" t="s">
        <v>2250</v>
      </c>
      <c r="C760" s="7" t="str">
        <f>IFERROR(__xludf.DUMMYFUNCTION("GOOGLETRANSLATE(B760, ""EN"", ""BN"")"),"অপচয় করতে")</f>
        <v>অপচয় করতে</v>
      </c>
      <c r="D760" s="8" t="s">
        <v>2251</v>
      </c>
    </row>
    <row r="761">
      <c r="A761" s="5" t="s">
        <v>2252</v>
      </c>
      <c r="B761" s="6" t="s">
        <v>2253</v>
      </c>
      <c r="C761" s="7" t="str">
        <f>IFERROR(__xludf.DUMMYFUNCTION("GOOGLETRANSLATE(B761, ""EN"", ""BN"")"),"নিশ্চলতা")</f>
        <v>নিশ্চলতা</v>
      </c>
      <c r="D761" s="8" t="s">
        <v>2254</v>
      </c>
    </row>
    <row r="762">
      <c r="A762" s="5" t="s">
        <v>2255</v>
      </c>
      <c r="B762" s="6" t="s">
        <v>2256</v>
      </c>
      <c r="C762" s="7" t="str">
        <f>IFERROR(__xludf.DUMMYFUNCTION("GOOGLETRANSLATE(B762, ""EN"", ""BN"")"),"পরিবর্তন বা নড়াচড়া না করা")</f>
        <v>পরিবর্তন বা নড়াচড়া না করা</v>
      </c>
      <c r="D762" s="8" t="s">
        <v>2257</v>
      </c>
    </row>
    <row r="763">
      <c r="A763" s="5" t="s">
        <v>2258</v>
      </c>
      <c r="B763" s="6" t="s">
        <v>2259</v>
      </c>
      <c r="C763" s="7" t="str">
        <f>IFERROR(__xludf.DUMMYFUNCTION("GOOGLETRANSLATE(B763, ""EN"", ""BN"")"),"দৃঢ়ভাবে প্রতিশ্রুতিবদ্ধ")</f>
        <v>দৃঢ়ভাবে প্রতিশ্রুতিবদ্ধ</v>
      </c>
      <c r="D763" s="8" t="s">
        <v>2260</v>
      </c>
    </row>
    <row r="764">
      <c r="A764" s="5" t="s">
        <v>2261</v>
      </c>
      <c r="B764" s="6" t="s">
        <v>2262</v>
      </c>
      <c r="C764" s="7" t="str">
        <f>IFERROR(__xludf.DUMMYFUNCTION("GOOGLETRANSLATE(B764, ""EN"", ""BN"")"),"অনুগত")</f>
        <v>অনুগত</v>
      </c>
      <c r="D764" s="8" t="s">
        <v>2263</v>
      </c>
    </row>
    <row r="765">
      <c r="A765" s="5" t="s">
        <v>2264</v>
      </c>
      <c r="B765" s="6" t="s">
        <v>2265</v>
      </c>
      <c r="C765" s="7" t="str">
        <f>IFERROR(__xludf.DUMMYFUNCTION("GOOGLETRANSLATE(B765, ""EN"", ""BN"")"),"কলঙ্কের চিহ্ন স্থাপন করা")</f>
        <v>কলঙ্কের চিহ্ন স্থাপন করা</v>
      </c>
      <c r="D765" s="8" t="s">
        <v>2266</v>
      </c>
    </row>
    <row r="766">
      <c r="A766" s="5" t="s">
        <v>2267</v>
      </c>
      <c r="B766" s="6" t="s">
        <v>2268</v>
      </c>
      <c r="C766" s="7" t="str">
        <f>IFERROR(__xludf.DUMMYFUNCTION("GOOGLETRANSLATE(B766, ""EN"", ""BN"")"),"চুক্তির অংশ হিসেবে কোনো কিছু দাবি করা")</f>
        <v>চুক্তির অংশ হিসেবে কোনো কিছু দাবি করা</v>
      </c>
      <c r="D766" s="8" t="s">
        <v>2269</v>
      </c>
    </row>
    <row r="767">
      <c r="A767" s="5" t="s">
        <v>2270</v>
      </c>
      <c r="B767" s="6" t="s">
        <v>2271</v>
      </c>
      <c r="C767" s="7" t="str">
        <f>IFERROR(__xludf.DUMMYFUNCTION("GOOGLETRANSLATE(B767, ""EN"", ""BN"")"),"আবেগহীন")</f>
        <v>আবেগহীন</v>
      </c>
      <c r="D767" s="8" t="s">
        <v>2272</v>
      </c>
    </row>
    <row r="768">
      <c r="A768" s="5" t="s">
        <v>2273</v>
      </c>
      <c r="B768" s="6" t="s">
        <v>2274</v>
      </c>
      <c r="C768" s="7" t="str">
        <f>IFERROR(__xludf.DUMMYFUNCTION("GOOGLETRANSLATE(B768, ""EN"", ""BN"")"),"একটি স্তর")</f>
        <v>একটি স্তর</v>
      </c>
      <c r="D768" s="8" t="s">
        <v>2275</v>
      </c>
    </row>
    <row r="769">
      <c r="A769" s="5" t="s">
        <v>2276</v>
      </c>
      <c r="B769" s="6" t="s">
        <v>2277</v>
      </c>
      <c r="C769" s="7" t="str">
        <f>IFERROR(__xludf.DUMMYFUNCTION("GOOGLETRANSLATE(B769, ""EN"", ""BN"")"),"একটি সীমাবদ্ধতা")</f>
        <v>একটি সীমাবদ্ধতা</v>
      </c>
      <c r="D769" s="8" t="s">
        <v>2278</v>
      </c>
    </row>
    <row r="770">
      <c r="A770" s="5" t="s">
        <v>2279</v>
      </c>
      <c r="B770" s="6" t="s">
        <v>2280</v>
      </c>
      <c r="C770" s="7" t="str">
        <f>IFERROR(__xludf.DUMMYFUNCTION("GOOGLETRANSLATE(B770, ""EN"", ""BN"")"),"সংগ্রাম বা সংঘর্ষ")</f>
        <v>সংগ্রাম বা সংঘর্ষ</v>
      </c>
      <c r="D770" s="8" t="s">
        <v>2281</v>
      </c>
    </row>
    <row r="771">
      <c r="A771" s="5" t="s">
        <v>2282</v>
      </c>
      <c r="B771" s="6" t="s">
        <v>2283</v>
      </c>
      <c r="C771" s="7" t="str">
        <f>IFERROR(__xludf.DUMMYFUNCTION("GOOGLETRANSLATE(B771, ""EN"", ""BN"")"),"সীমাবদ্ধ")</f>
        <v>সীমাবদ্ধ</v>
      </c>
      <c r="D771" s="8" t="s">
        <v>2284</v>
      </c>
    </row>
    <row r="772">
      <c r="A772" s="5" t="s">
        <v>2285</v>
      </c>
      <c r="B772" s="6" t="s">
        <v>2286</v>
      </c>
      <c r="C772" s="7" t="str">
        <f>IFERROR(__xludf.DUMMYFUNCTION("GOOGLETRANSLATE(B772, ""EN"", ""BN"")"),"পথে বাধা হয়ে দাঁড়ানো")</f>
        <v>পথে বাধা হয়ে দাঁড়ানো</v>
      </c>
      <c r="D772" s="8" t="s">
        <v>2287</v>
      </c>
    </row>
    <row r="773">
      <c r="A773" s="5" t="s">
        <v>2288</v>
      </c>
      <c r="B773" s="6" t="s">
        <v>2289</v>
      </c>
      <c r="C773" s="7" t="str">
        <f>IFERROR(__xludf.DUMMYFUNCTION("GOOGLETRANSLATE(B773, ""EN"", ""BN"")"),"দাস বানানো")</f>
        <v>দাস বানানো</v>
      </c>
      <c r="D773" s="8" t="s">
        <v>2290</v>
      </c>
    </row>
    <row r="774">
      <c r="A774" s="5" t="s">
        <v>2291</v>
      </c>
      <c r="B774" s="6" t="s">
        <v>2292</v>
      </c>
      <c r="C774" s="7" t="str">
        <f>IFERROR(__xludf.DUMMYFUNCTION("GOOGLETRANSLATE(B774, ""EN"", ""BN"")"),"অসাধারণ")</f>
        <v>অসাধারণ</v>
      </c>
      <c r="D774" s="8" t="s">
        <v>2293</v>
      </c>
    </row>
    <row r="775">
      <c r="A775" s="5" t="s">
        <v>2294</v>
      </c>
      <c r="B775" s="6" t="s">
        <v>2295</v>
      </c>
      <c r="C775" s="7" t="str">
        <f>IFERROR(__xludf.DUMMYFUNCTION("GOOGLETRANSLATE(B775, ""EN"", ""BN"")"),"নিকৃষ্ট")</f>
        <v>নিকৃষ্ট</v>
      </c>
      <c r="D775" s="8" t="s">
        <v>2296</v>
      </c>
    </row>
    <row r="776">
      <c r="A776" s="5" t="s">
        <v>2297</v>
      </c>
      <c r="B776" s="6" t="s">
        <v>2298</v>
      </c>
      <c r="C776" s="7" t="str">
        <f>IFERROR(__xludf.DUMMYFUNCTION("GOOGLETRANSLATE(B776, ""EN"", ""BN"")"),"অপরিহার্য; কঠিন")</f>
        <v>অপরিহার্য; কঠিন</v>
      </c>
      <c r="D776" s="8" t="s">
        <v>2299</v>
      </c>
    </row>
    <row r="777">
      <c r="A777" s="5" t="s">
        <v>2300</v>
      </c>
      <c r="B777" s="6" t="s">
        <v>2301</v>
      </c>
      <c r="C777" s="7" t="str">
        <f>IFERROR(__xludf.DUMMYFUNCTION("GOOGLETRANSLATE(B777, ""EN"", ""BN"")"),"স্পষ্ট নয়")</f>
        <v>স্পষ্ট নয়</v>
      </c>
      <c r="D777" s="8" t="s">
        <v>2302</v>
      </c>
    </row>
    <row r="778">
      <c r="A778" s="5" t="s">
        <v>2303</v>
      </c>
      <c r="B778" s="6" t="s">
        <v>2304</v>
      </c>
      <c r="C778" s="7" t="str">
        <f>IFERROR(__xludf.DUMMYFUNCTION("GOOGLETRANSLATE(B778, ""EN"", ""BN"")"),"বিদ্রোহী")</f>
        <v>বিদ্রোহী</v>
      </c>
      <c r="D778" s="8" t="s">
        <v>2305</v>
      </c>
    </row>
    <row r="779">
      <c r="A779" s="5" t="s">
        <v>2306</v>
      </c>
      <c r="B779" s="6" t="s">
        <v>2307</v>
      </c>
      <c r="C779" s="7" t="str">
        <f>IFERROR(__xludf.DUMMYFUNCTION("GOOGLETRANSLATE(B779, ""EN"", ""BN"")"),"সংক্ষিপ্ত এবং সরাসরি")</f>
        <v>সংক্ষিপ্ত এবং সরাসরি</v>
      </c>
      <c r="D779" s="8" t="s">
        <v>2308</v>
      </c>
    </row>
    <row r="780">
      <c r="A780" s="5" t="s">
        <v>2309</v>
      </c>
      <c r="B780" s="6" t="s">
        <v>2310</v>
      </c>
      <c r="C780" s="7" t="str">
        <f>IFERROR(__xludf.DUMMYFUNCTION("GOOGLETRANSLATE(B780, ""EN"", ""BN"")"),"নতি স্বীকার করা বা বশ্যতা স্বীকার করা")</f>
        <v>নতি স্বীকার করা বা বশ্যতা স্বীকার করা</v>
      </c>
      <c r="D780" s="8" t="s">
        <v>2311</v>
      </c>
    </row>
    <row r="781">
      <c r="A781" s="5" t="s">
        <v>2312</v>
      </c>
      <c r="B781" s="6" t="s">
        <v>2313</v>
      </c>
      <c r="C781" s="7" t="str">
        <f>IFERROR(__xludf.DUMMYFUNCTION("GOOGLETRANSLATE(B781, ""EN"", ""BN"")"),"উদ্ধত")</f>
        <v>উদ্ধত</v>
      </c>
      <c r="D781" s="8" t="s">
        <v>2314</v>
      </c>
    </row>
    <row r="782">
      <c r="A782" s="5" t="s">
        <v>2315</v>
      </c>
      <c r="B782" s="6" t="s">
        <v>2316</v>
      </c>
      <c r="C782" s="7" t="str">
        <f>IFERROR(__xludf.DUMMYFUNCTION("GOOGLETRANSLATE(B782, ""EN"", ""BN"")"),"পুঙ্খানুপুঙ্খ নয়")</f>
        <v>পুঙ্খানুপুঙ্খ নয়</v>
      </c>
      <c r="D782" s="8" t="s">
        <v>2317</v>
      </c>
    </row>
    <row r="783">
      <c r="A783" s="5" t="s">
        <v>2318</v>
      </c>
      <c r="B783" s="6" t="s">
        <v>1090</v>
      </c>
      <c r="C783" s="7" t="str">
        <f>IFERROR(__xludf.DUMMYFUNCTION("GOOGLETRANSLATE(B783, ""EN"", ""BN"")"),"অপ্রয়োজনীয়")</f>
        <v>অপ্রয়োজনীয়</v>
      </c>
      <c r="D783" s="8" t="s">
        <v>2319</v>
      </c>
    </row>
    <row r="784">
      <c r="A784" s="5" t="s">
        <v>2320</v>
      </c>
      <c r="B784" s="6" t="s">
        <v>2321</v>
      </c>
      <c r="C784" s="7" t="str">
        <f>IFERROR(__xludf.DUMMYFUNCTION("GOOGLETRANSLATE(B784, ""EN"", ""BN"")"),"খাওয়া বা পান করার ক্ষেত্রে অতিরিক্ত বা মাত্রাতিরিক্ত আসক্তি")</f>
        <v>খাওয়া বা পান করার ক্ষেত্রে অতিরিক্ত বা মাত্রাতিরিক্ত আসক্তি</v>
      </c>
      <c r="D784" s="8" t="s">
        <v>2322</v>
      </c>
    </row>
    <row r="785">
      <c r="A785" s="5" t="s">
        <v>2323</v>
      </c>
      <c r="B785" s="6" t="s">
        <v>1416</v>
      </c>
      <c r="C785" s="7" t="str">
        <f>IFERROR(__xludf.DUMMYFUNCTION("GOOGLETRANSLATE(B785, ""EN"", ""BN"")"),"চতুর")</f>
        <v>চতুর</v>
      </c>
      <c r="D785" s="8" t="s">
        <v>2324</v>
      </c>
    </row>
    <row r="786">
      <c r="A786" s="5" t="s">
        <v>2325</v>
      </c>
      <c r="B786" s="6" t="s">
        <v>2326</v>
      </c>
      <c r="C786" s="7" t="str">
        <f>IFERROR(__xludf.DUMMYFUNCTION("GOOGLETRANSLATE(B786, ""EN"", ""BN"")"),"বিকল্প")</f>
        <v>বিকল্প</v>
      </c>
      <c r="D786" s="8" t="s">
        <v>2327</v>
      </c>
    </row>
    <row r="787">
      <c r="A787" s="5" t="s">
        <v>2328</v>
      </c>
      <c r="B787" s="6" t="s">
        <v>2329</v>
      </c>
      <c r="C787" s="7" t="str">
        <f>IFERROR(__xludf.DUMMYFUNCTION("GOOGLETRANSLATE(B787, ""EN"", ""BN"")"),"যে অন্যের তোষামোদ করে")</f>
        <v>যে অন্যের তোষামোদ করে</v>
      </c>
      <c r="D787" s="8" t="s">
        <v>2330</v>
      </c>
    </row>
    <row r="788">
      <c r="A788" s="5" t="s">
        <v>2331</v>
      </c>
      <c r="B788" s="6" t="s">
        <v>2332</v>
      </c>
      <c r="C788" s="7" t="str">
        <f>IFERROR(__xludf.DUMMYFUNCTION("GOOGLETRANSLATE(B788, ""EN"", ""BN"")"),"অংশসমূহের সমন্বয়ে একটি পূর্ণাঙ্গ রূপ গঠন করা")</f>
        <v>অংশসমূহের সমন্বয়ে একটি পূর্ণাঙ্গ রূপ গঠন করা</v>
      </c>
      <c r="D788" s="8" t="s">
        <v>2333</v>
      </c>
    </row>
    <row r="789">
      <c r="A789" s="5" t="s">
        <v>2334</v>
      </c>
      <c r="B789" s="6" t="s">
        <v>2335</v>
      </c>
      <c r="C789" s="7" t="str">
        <f>IFERROR(__xludf.DUMMYFUNCTION("GOOGLETRANSLATE(B789, ""EN"", ""BN"")"),"অন্তর্নিহিত")</f>
        <v>অন্তর্নিহিত</v>
      </c>
      <c r="D789" s="8" t="s">
        <v>2336</v>
      </c>
    </row>
    <row r="790">
      <c r="A790" s="5" t="s">
        <v>2337</v>
      </c>
      <c r="B790" s="6" t="s">
        <v>2338</v>
      </c>
      <c r="C790" s="7" t="str">
        <f>IFERROR(__xludf.DUMMYFUNCTION("GOOGLETRANSLATE(B790, ""EN"", ""BN"")"),"স্বভাবগতভাবে স্বল্পভাষী")</f>
        <v>স্বভাবগতভাবে স্বল্পভাষী</v>
      </c>
      <c r="D790" s="8" t="s">
        <v>2339</v>
      </c>
    </row>
    <row r="791">
      <c r="A791" s="5" t="s">
        <v>2340</v>
      </c>
      <c r="B791" s="6" t="s">
        <v>2341</v>
      </c>
      <c r="C791" s="7" t="str">
        <f>IFERROR(__xludf.DUMMYFUNCTION("GOOGLETRANSLATE(B791, ""EN"", ""BN"")"),"আলোচ্য বিষয়ের সাথে কেবল উপর উপর সম্পর্কিত")</f>
        <v>আলোচ্য বিষয়ের সাথে কেবল উপর উপর সম্পর্কিত</v>
      </c>
      <c r="D791" s="8" t="s">
        <v>2342</v>
      </c>
    </row>
    <row r="792">
      <c r="A792" s="5" t="s">
        <v>2343</v>
      </c>
      <c r="B792" s="6" t="s">
        <v>2344</v>
      </c>
      <c r="C792" s="7" t="str">
        <f>IFERROR(__xludf.DUMMYFUNCTION("GOOGLETRANSLATE(B792, ""EN"", ""BN"")"),"স্পর্শযোগ্য")</f>
        <v>স্পর্শযোগ্য</v>
      </c>
      <c r="D792" s="8" t="s">
        <v>2345</v>
      </c>
    </row>
    <row r="793">
      <c r="A793" s="5" t="s">
        <v>2346</v>
      </c>
      <c r="B793" s="6" t="s">
        <v>2347</v>
      </c>
      <c r="C793" s="7" t="str">
        <f>IFERROR(__xludf.DUMMYFUNCTION("GOOGLETRANSLATE(B793, ""EN"", ""BN"")"),"সমতুল্য")</f>
        <v>সমতুল্য</v>
      </c>
      <c r="D793" s="8" t="s">
        <v>2348</v>
      </c>
    </row>
    <row r="794">
      <c r="A794" s="5" t="s">
        <v>2349</v>
      </c>
      <c r="B794" s="6" t="s">
        <v>2350</v>
      </c>
      <c r="C794" s="7" t="str">
        <f>IFERROR(__xludf.DUMMYFUNCTION("GOOGLETRANSLATE(B794, ""EN"", ""BN"")"),"অপ্রয়োজনীয়")</f>
        <v>অপ্রয়োজনীয়</v>
      </c>
      <c r="D794" s="8" t="s">
        <v>2351</v>
      </c>
    </row>
    <row r="795">
      <c r="A795" s="5" t="s">
        <v>2352</v>
      </c>
      <c r="B795" s="6" t="s">
        <v>381</v>
      </c>
      <c r="C795" s="7" t="str">
        <f>IFERROR(__xludf.DUMMYFUNCTION("GOOGLETRANSLATE(B795, ""EN"", ""BN"")"),"সাহসিকতা")</f>
        <v>সাহসিকতা</v>
      </c>
      <c r="D795" s="8" t="s">
        <v>2353</v>
      </c>
    </row>
    <row r="796">
      <c r="A796" s="5" t="s">
        <v>2354</v>
      </c>
      <c r="B796" s="6" t="s">
        <v>2355</v>
      </c>
      <c r="C796" s="7" t="str">
        <f>IFERROR(__xludf.DUMMYFUNCTION("GOOGLETRANSLATE(B796, ""EN"", ""BN"")"),"মৃদু")</f>
        <v>মৃদু</v>
      </c>
      <c r="D796" s="8" t="s">
        <v>2356</v>
      </c>
    </row>
    <row r="797">
      <c r="A797" s="5" t="s">
        <v>2357</v>
      </c>
      <c r="B797" s="6" t="s">
        <v>2358</v>
      </c>
      <c r="C797" s="7" t="str">
        <f>IFERROR(__xludf.DUMMYFUNCTION("GOOGLETRANSLATE(B797, ""EN"", ""BN"")"),"বৈধ")</f>
        <v>বৈধ</v>
      </c>
      <c r="D797" s="8" t="s">
        <v>2359</v>
      </c>
    </row>
    <row r="798">
      <c r="A798" s="5" t="s">
        <v>2360</v>
      </c>
      <c r="B798" s="6" t="s">
        <v>2361</v>
      </c>
      <c r="C798" s="7" t="str">
        <f>IFERROR(__xludf.DUMMYFUNCTION("GOOGLETRANSLATE(B798, ""EN"", ""BN"")"),"ছেড়ে না দেওয়া")</f>
        <v>ছেড়ে না দেওয়া</v>
      </c>
      <c r="D798" s="8" t="s">
        <v>2362</v>
      </c>
    </row>
    <row r="799">
      <c r="A799" s="5" t="s">
        <v>2363</v>
      </c>
      <c r="B799" s="6" t="s">
        <v>2364</v>
      </c>
      <c r="C799" s="7" t="str">
        <f>IFERROR(__xludf.DUMMYFUNCTION("GOOGLETRANSLATE(B799, ""EN"", ""BN"")"),"একটি সাধারণ নীতি বা বিশ্বাস")</f>
        <v>একটি সাধারণ নীতি বা বিশ্বাস</v>
      </c>
      <c r="D799" s="8" t="s">
        <v>2365</v>
      </c>
    </row>
    <row r="800">
      <c r="A800" s="5" t="s">
        <v>2366</v>
      </c>
      <c r="B800" s="6" t="s">
        <v>2367</v>
      </c>
      <c r="C800" s="7" t="str">
        <f>IFERROR(__xludf.DUMMYFUNCTION("GOOGLETRANSLATE(B800, ""EN"", ""BN"")"),"অস্থায়ী; অনিশ্চিত")</f>
        <v>অস্থায়ী; অনিশ্চিত</v>
      </c>
      <c r="D800" s="8" t="s">
        <v>2368</v>
      </c>
    </row>
    <row r="801">
      <c r="A801" s="5" t="s">
        <v>2369</v>
      </c>
      <c r="B801" s="6" t="s">
        <v>2370</v>
      </c>
      <c r="C801" s="7" t="str">
        <f>IFERROR(__xludf.DUMMYFUNCTION("GOOGLETRANSLATE(B801, ""EN"", ""BN"")"),"দুর্বল")</f>
        <v>দুর্বল</v>
      </c>
      <c r="D801" s="8" t="s">
        <v>2371</v>
      </c>
    </row>
    <row r="802">
      <c r="A802" s="5" t="s">
        <v>2372</v>
      </c>
      <c r="B802" s="6" t="s">
        <v>657</v>
      </c>
      <c r="C802" s="7" t="str">
        <f>IFERROR(__xludf.DUMMYFUNCTION("GOOGLETRANSLATE(B802, ""EN"", ""BN"")"),"সংক্ষিপ্ত")</f>
        <v>সংক্ষিপ্ত</v>
      </c>
      <c r="D802" s="8" t="s">
        <v>2373</v>
      </c>
    </row>
    <row r="803">
      <c r="A803" s="5" t="s">
        <v>2374</v>
      </c>
      <c r="B803" s="6" t="s">
        <v>2375</v>
      </c>
      <c r="C803" s="7" t="str">
        <f>IFERROR(__xludf.DUMMYFUNCTION("GOOGLETRANSLATE(B803, ""EN"", ""BN"")"),"ঈশ্বর বা ধর্মের অধ্যয়ন")</f>
        <v>ঈশ্বর বা ধর্মের অধ্যয়ন</v>
      </c>
      <c r="D803" s="8" t="s">
        <v>2376</v>
      </c>
    </row>
    <row r="804">
      <c r="A804" s="5" t="s">
        <v>2377</v>
      </c>
      <c r="B804" s="6" t="s">
        <v>2378</v>
      </c>
      <c r="C804" s="7" t="str">
        <f>IFERROR(__xludf.DUMMYFUNCTION("GOOGLETRANSLATE(B804, ""EN"", ""BN"")"),"একটি দীর্ঘ তিক্ত বক্তৃতা")</f>
        <v>একটি দীর্ঘ তিক্ত বক্তৃতা</v>
      </c>
      <c r="D804" s="8" t="s">
        <v>2379</v>
      </c>
    </row>
    <row r="805">
      <c r="A805" s="5" t="s">
        <v>2380</v>
      </c>
      <c r="B805" s="6" t="s">
        <v>2381</v>
      </c>
      <c r="C805" s="7" t="str">
        <f>IFERROR(__xludf.DUMMYFUNCTION("GOOGLETRANSLATE(B805, ""EN"", ""BN"")"),"নিষ্ক্রিয়তা; মন্থরতা")</f>
        <v>নিষ্ক্রিয়তা; মন্থরতা</v>
      </c>
      <c r="D805" s="8" t="s">
        <v>2382</v>
      </c>
    </row>
    <row r="806">
      <c r="A806" s="5" t="s">
        <v>2383</v>
      </c>
      <c r="B806" s="6" t="s">
        <v>2384</v>
      </c>
      <c r="C806" s="7" t="str">
        <f>IFERROR(__xludf.DUMMYFUNCTION("GOOGLETRANSLATE(B806, ""EN"", ""BN"")"),"সত্যতা বা গুণমানের একটি পরীক্ষা")</f>
        <v>সত্যতা বা গুণমানের একটি পরীক্ষা</v>
      </c>
      <c r="D806" s="8" t="s">
        <v>2385</v>
      </c>
    </row>
    <row r="807">
      <c r="A807" s="5" t="s">
        <v>2386</v>
      </c>
      <c r="B807" s="6" t="s">
        <v>2387</v>
      </c>
      <c r="C807" s="7" t="str">
        <f>IFERROR(__xludf.DUMMYFUNCTION("GOOGLETRANSLATE(B807, ""EN"", ""BN"")"),"প্রকাশ্যে বড়াই করার জন্য")</f>
        <v>প্রকাশ্যে বড়াই করার জন্য</v>
      </c>
      <c r="D807" s="8" t="s">
        <v>2388</v>
      </c>
    </row>
    <row r="808">
      <c r="A808" s="5" t="s">
        <v>2389</v>
      </c>
      <c r="B808" s="6" t="s">
        <v>2390</v>
      </c>
      <c r="C808" s="7" t="str">
        <f>IFERROR(__xludf.DUMMYFUNCTION("GOOGLETRANSLATE(B808, ""EN"", ""BN"")"),"অতিক্রম করতে")</f>
        <v>অতিক্রম করতে</v>
      </c>
      <c r="D808" s="8" t="s">
        <v>2391</v>
      </c>
    </row>
    <row r="809">
      <c r="A809" s="5" t="s">
        <v>2392</v>
      </c>
      <c r="B809" s="6" t="s">
        <v>2393</v>
      </c>
      <c r="C809" s="7" t="str">
        <f>IFERROR(__xludf.DUMMYFUNCTION("GOOGLETRANSLATE(B809, ""EN"", ""BN"")"),"পাপ করতে")</f>
        <v>পাপ করতে</v>
      </c>
      <c r="D809" s="8" t="s">
        <v>2394</v>
      </c>
    </row>
    <row r="810">
      <c r="A810" s="5" t="s">
        <v>2395</v>
      </c>
      <c r="B810" s="6" t="s">
        <v>2396</v>
      </c>
      <c r="C810" s="7" t="str">
        <f>IFERROR(__xludf.DUMMYFUNCTION("GOOGLETRANSLATE(B810, ""EN"", ""BN"")"),"অস্থায়ী")</f>
        <v>অস্থায়ী</v>
      </c>
      <c r="D810" s="8" t="s">
        <v>2397</v>
      </c>
    </row>
    <row r="811">
      <c r="A811" s="5" t="s">
        <v>2398</v>
      </c>
      <c r="B811" s="6" t="s">
        <v>2399</v>
      </c>
      <c r="C811" s="7" t="str">
        <f>IFERROR(__xludf.DUMMYFUNCTION("GOOGLETRANSLATE(B811, ""EN"", ""BN"")"),"আশঙ্কা")</f>
        <v>আশঙ্কা</v>
      </c>
      <c r="D811" s="8" t="s">
        <v>2400</v>
      </c>
    </row>
    <row r="812">
      <c r="A812" s="5" t="s">
        <v>2401</v>
      </c>
      <c r="B812" s="6" t="s">
        <v>2402</v>
      </c>
      <c r="C812" s="7" t="str">
        <f>IFERROR(__xludf.DUMMYFUNCTION("GOOGLETRANSLATE(B812, ""EN"", ""BN"")"),"লজ্জাজনক দুষ্টতা")</f>
        <v>লজ্জাজনক দুষ্টতা</v>
      </c>
      <c r="D812" s="8" t="s">
        <v>2403</v>
      </c>
    </row>
    <row r="813">
      <c r="A813" s="5" t="s">
        <v>2404</v>
      </c>
      <c r="B813" s="6" t="s">
        <v>2405</v>
      </c>
      <c r="C813" s="7" t="str">
        <f>IFERROR(__xludf.DUMMYFUNCTION("GOOGLETRANSLATE(B813, ""EN"", ""BN"")"),"একই সময়ে সর্বত্র থাকা")</f>
        <v>একই সময়ে সর্বত্র থাকা</v>
      </c>
      <c r="D813" s="8" t="s">
        <v>2406</v>
      </c>
    </row>
    <row r="814">
      <c r="A814" s="5" t="s">
        <v>2407</v>
      </c>
      <c r="B814" s="6" t="s">
        <v>2408</v>
      </c>
      <c r="C814" s="7" t="str">
        <f>IFERROR(__xludf.DUMMYFUNCTION("GOOGLETRANSLATE(B814, ""EN"", ""BN"")"),"বিবেক দ্বারা নিয়ন্ত্রিত নয়")</f>
        <v>বিবেক দ্বারা নিয়ন্ত্রিত নয়</v>
      </c>
      <c r="D814" s="8" t="s">
        <v>2409</v>
      </c>
    </row>
    <row r="815">
      <c r="A815" s="5" t="s">
        <v>2410</v>
      </c>
      <c r="B815" s="6" t="s">
        <v>2411</v>
      </c>
      <c r="C815" s="7" t="str">
        <f>IFERROR(__xludf.DUMMYFUNCTION("GOOGLETRANSLATE(B815, ""EN"", ""BN"")"),"তৈলাক্ত; অকৃত্রিম")</f>
        <v>তৈলাক্ত; অকৃত্রিম</v>
      </c>
      <c r="D815" s="8" t="s">
        <v>2412</v>
      </c>
    </row>
    <row r="816">
      <c r="A816" s="5" t="s">
        <v>2413</v>
      </c>
      <c r="B816" s="6" t="s">
        <v>2414</v>
      </c>
      <c r="C816" s="7" t="str">
        <f>IFERROR(__xludf.DUMMYFUNCTION("GOOGLETRANSLATE(B816, ""EN"", ""BN"")"),"সবার জন্য একই")</f>
        <v>সবার জন্য একই</v>
      </c>
      <c r="D816" s="8" t="s">
        <v>2415</v>
      </c>
    </row>
    <row r="817">
      <c r="A817" s="5" t="s">
        <v>2416</v>
      </c>
      <c r="B817" s="6" t="s">
        <v>1337</v>
      </c>
      <c r="C817" s="7" t="str">
        <f>IFERROR(__xludf.DUMMYFUNCTION("GOOGLETRANSLATE(B817, ""EN"", ""BN"")"),"অবিরাম")</f>
        <v>অবিরাম</v>
      </c>
      <c r="D817" s="8" t="s">
        <v>2417</v>
      </c>
    </row>
    <row r="818">
      <c r="A818" s="5" t="s">
        <v>2418</v>
      </c>
      <c r="B818" s="6" t="s">
        <v>2419</v>
      </c>
      <c r="C818" s="7" t="str">
        <f>IFERROR(__xludf.DUMMYFUNCTION("GOOGLETRANSLATE(B818, ""EN"", ""BN"")"),"অজ্ঞ; অসচেতন")</f>
        <v>অজ্ঞ; অসচেতন</v>
      </c>
      <c r="D818" s="8" t="s">
        <v>2420</v>
      </c>
    </row>
    <row r="819">
      <c r="A819" s="5" t="s">
        <v>2421</v>
      </c>
      <c r="B819" s="6" t="s">
        <v>2422</v>
      </c>
      <c r="C819" s="7" t="str">
        <f>IFERROR(__xludf.DUMMYFUNCTION("GOOGLETRANSLATE(B819, ""EN"", ""BN"")"),"পরিশীলিত")</f>
        <v>পরিশীলিত</v>
      </c>
      <c r="D819" s="8" t="s">
        <v>2423</v>
      </c>
    </row>
    <row r="820">
      <c r="A820" s="5" t="s">
        <v>2424</v>
      </c>
      <c r="B820" s="6" t="s">
        <v>2425</v>
      </c>
      <c r="C820" s="7" t="str">
        <f>IFERROR(__xludf.DUMMYFUNCTION("GOOGLETRANSLATE(B820, ""EN"", ""BN"")"),"অন্যায়ভাবে দখল করা")</f>
        <v>অন্যায়ভাবে দখল করা</v>
      </c>
      <c r="D820" s="8" t="s">
        <v>2426</v>
      </c>
    </row>
    <row r="821">
      <c r="A821" s="5" t="s">
        <v>2427</v>
      </c>
      <c r="B821" s="6" t="s">
        <v>2428</v>
      </c>
      <c r="C821" s="7" t="str">
        <f>IFERROR(__xludf.DUMMYFUNCTION("GOOGLETRANSLATE(B821, ""EN"", ""BN"")"),"বাস্তববাদী")</f>
        <v>বাস্তববাদী</v>
      </c>
      <c r="D821" s="8" t="s">
        <v>2429</v>
      </c>
    </row>
    <row r="822">
      <c r="A822" s="5" t="s">
        <v>2430</v>
      </c>
      <c r="B822" s="6" t="s">
        <v>2431</v>
      </c>
      <c r="C822" s="7" t="str">
        <f>IFERROR(__xludf.DUMMYFUNCTION("GOOGLETRANSLATE(B822, ""EN"", ""BN"")"),"একটি আদর্শ সমাজ")</f>
        <v>একটি আদর্শ সমাজ</v>
      </c>
      <c r="D822" s="8" t="s">
        <v>2432</v>
      </c>
    </row>
    <row r="823">
      <c r="A823" s="5" t="s">
        <v>2433</v>
      </c>
      <c r="B823" s="6" t="s">
        <v>2434</v>
      </c>
      <c r="C823" s="7" t="str">
        <f>IFERROR(__xludf.DUMMYFUNCTION("GOOGLETRANSLATE(B823, ""EN"", ""BN"")"),"সিদ্ধান্তহীন হওয়া")</f>
        <v>সিদ্ধান্তহীন হওয়া</v>
      </c>
      <c r="D823" s="8" t="s">
        <v>2435</v>
      </c>
    </row>
    <row r="824">
      <c r="A824" s="5" t="s">
        <v>2436</v>
      </c>
      <c r="B824" s="6" t="s">
        <v>2437</v>
      </c>
      <c r="C824" s="7" t="str">
        <f>IFERROR(__xludf.DUMMYFUNCTION("GOOGLETRANSLATE(B824, ""EN"", ""BN"")"),"প্রাণহীন")</f>
        <v>প্রাণহীন</v>
      </c>
      <c r="D824" s="8" t="s">
        <v>2438</v>
      </c>
    </row>
    <row r="825">
      <c r="A825" s="5" t="s">
        <v>2439</v>
      </c>
      <c r="B825" s="6" t="s">
        <v>2440</v>
      </c>
      <c r="C825" s="7" t="str">
        <f>IFERROR(__xludf.DUMMYFUNCTION("GOOGLETRANSLATE(B825, ""EN"", ""BN"")"),"হিংস্র; জোরালো; তীব্র")</f>
        <v>হিংস্র; জোরালো; তীব্র</v>
      </c>
      <c r="D825" s="8" t="s">
        <v>2441</v>
      </c>
    </row>
    <row r="826">
      <c r="A826" s="5" t="s">
        <v>2442</v>
      </c>
      <c r="B826" s="6" t="s">
        <v>2443</v>
      </c>
      <c r="C826" s="7" t="str">
        <f>IFERROR(__xludf.DUMMYFUNCTION("GOOGLETRANSLATE(B826, ""EN"", ""BN"")"),"ঘুষ নেওয়ার যোগ্য")</f>
        <v>ঘুষ নেওয়ার যোগ্য</v>
      </c>
      <c r="D826" s="8" t="s">
        <v>2444</v>
      </c>
    </row>
    <row r="827">
      <c r="A827" s="5" t="s">
        <v>2445</v>
      </c>
      <c r="B827" s="6" t="s">
        <v>2446</v>
      </c>
      <c r="C827" s="7" t="str">
        <f>IFERROR(__xludf.DUMMYFUNCTION("GOOGLETRANSLATE(B827, ""EN"", ""BN"")"),"বিশেষত বহু বয়সের কারণে কোনো কিছুকে পবিত্র বলে গণ্য করা")</f>
        <v>বিশেষত বহু বয়সের কারণে কোনো কিছুকে পবিত্র বলে গণ্য করা</v>
      </c>
      <c r="D827" s="8" t="s">
        <v>2447</v>
      </c>
    </row>
    <row r="828">
      <c r="A828" s="5" t="s">
        <v>2448</v>
      </c>
      <c r="B828" s="6" t="s">
        <v>2449</v>
      </c>
      <c r="C828" s="7" t="str">
        <f>IFERROR(__xludf.DUMMYFUNCTION("GOOGLETRANSLATE(B828, ""EN"", ""BN"")"),"সত্যবাদিতা")</f>
        <v>সত্যবাদিতা</v>
      </c>
      <c r="D828" s="8" t="s">
        <v>2450</v>
      </c>
    </row>
    <row r="829">
      <c r="A829" s="5" t="s">
        <v>2451</v>
      </c>
      <c r="B829" s="6" t="s">
        <v>2452</v>
      </c>
      <c r="C829" s="7" t="str">
        <f>IFERROR(__xludf.DUMMYFUNCTION("GOOGLETRANSLATE(B829, ""EN"", ""BN"")"),"অতিরিক্ত শব্দ ব্যবহার করা")</f>
        <v>অতিরিক্ত শব্দ ব্যবহার করা</v>
      </c>
      <c r="D829" s="8" t="s">
        <v>2453</v>
      </c>
    </row>
    <row r="830">
      <c r="A830" s="5" t="s">
        <v>2454</v>
      </c>
      <c r="B830" s="6" t="s">
        <v>2455</v>
      </c>
      <c r="C830" s="7" t="str">
        <f>IFERROR(__xludf.DUMMYFUNCTION("GOOGLETRANSLATE(B830, ""EN"", ""BN"")"),"সত্যের উপস্থিতি")</f>
        <v>সত্যের উপস্থিতি</v>
      </c>
      <c r="D830" s="8" t="s">
        <v>2456</v>
      </c>
    </row>
    <row r="831">
      <c r="A831" s="5" t="s">
        <v>2457</v>
      </c>
      <c r="B831" s="6" t="s">
        <v>2458</v>
      </c>
      <c r="C831" s="7" t="str">
        <f>IFERROR(__xludf.DUMMYFUNCTION("GOOGLETRANSLATE(B831, ""EN"", ""BN"")"),"অপভাষা; বাগধারা")</f>
        <v>অপভাষা; বাগধারা</v>
      </c>
      <c r="D831" s="8" t="s">
        <v>2459</v>
      </c>
    </row>
    <row r="832">
      <c r="A832" s="5" t="s">
        <v>2460</v>
      </c>
      <c r="B832" s="6" t="s">
        <v>2461</v>
      </c>
      <c r="C832" s="7" t="str">
        <f>IFERROR(__xludf.DUMMYFUNCTION("GOOGLETRANSLATE(B832, ""EN"", ""BN"")"),"অবশিষ্ট; শেষ চিহ্ন")</f>
        <v>অবশিষ্ট; শেষ চিহ্ন</v>
      </c>
      <c r="D832" s="8" t="s">
        <v>2462</v>
      </c>
    </row>
    <row r="833">
      <c r="A833" s="5" t="s">
        <v>2463</v>
      </c>
      <c r="B833" s="6" t="s">
        <v>1055</v>
      </c>
      <c r="C833" s="7" t="str">
        <f>IFERROR(__xludf.DUMMYFUNCTION("GOOGLETRANSLATE(B833, ""EN"", ""BN"")"),"বিরক্ত করতে")</f>
        <v>বিরক্ত করতে</v>
      </c>
      <c r="D833" s="8" t="s">
        <v>2464</v>
      </c>
    </row>
    <row r="834">
      <c r="A834" s="5" t="s">
        <v>2465</v>
      </c>
      <c r="B834" s="6" t="s">
        <v>2466</v>
      </c>
      <c r="C834" s="7" t="str">
        <f>IFERROR(__xludf.DUMMYFUNCTION("GOOGLETRANSLATE(B834, ""EN"", ""BN"")"),"বেঁচে থাকতে সক্ষম")</f>
        <v>বেঁচে থাকতে সক্ষম</v>
      </c>
      <c r="D834" s="8" t="s">
        <v>2467</v>
      </c>
    </row>
    <row r="835">
      <c r="A835" s="5" t="s">
        <v>2468</v>
      </c>
      <c r="B835" s="6" t="s">
        <v>2469</v>
      </c>
      <c r="C835" s="7" t="str">
        <f>IFERROR(__xludf.DUMMYFUNCTION("GOOGLETRANSLATE(B835, ""EN"", ""BN"")"),"অন্যের অভিজ্ঞতাকে নিজের অভিজ্ঞতার মতো করে যাপন করা।")</f>
        <v>অন্যের অভিজ্ঞতাকে নিজের অভিজ্ঞতার মতো করে যাপন করা।</v>
      </c>
      <c r="D835" s="8" t="s">
        <v>2470</v>
      </c>
    </row>
    <row r="836">
      <c r="A836" s="5" t="s">
        <v>2471</v>
      </c>
      <c r="B836" s="6" t="s">
        <v>2472</v>
      </c>
      <c r="C836" s="7" t="str">
        <f>IFERROR(__xludf.DUMMYFUNCTION("GOOGLETRANSLATE(B836, ""EN"", ""BN"")"),"প্রাকৃতিক পরিবর্তন; ভাগ্যের পরিবর্তন")</f>
        <v>প্রাকৃতিক পরিবর্তন; ভাগ্যের পরিবর্তন</v>
      </c>
      <c r="D836" s="8" t="s">
        <v>2473</v>
      </c>
    </row>
    <row r="837">
      <c r="A837" s="5" t="s">
        <v>2474</v>
      </c>
      <c r="B837" s="6" t="s">
        <v>2475</v>
      </c>
      <c r="C837" s="7" t="str">
        <f>IFERROR(__xludf.DUMMYFUNCTION("GOOGLETRANSLATE(B837, ""EN"", ""BN"")"),"মানহানি করা")</f>
        <v>মানহানি করা</v>
      </c>
      <c r="D837" s="8" t="s">
        <v>2476</v>
      </c>
    </row>
    <row r="838">
      <c r="A838" s="5" t="s">
        <v>2477</v>
      </c>
      <c r="B838" s="6" t="s">
        <v>2478</v>
      </c>
      <c r="C838" s="7" t="str">
        <f>IFERROR(__xludf.DUMMYFUNCTION("GOOGLETRANSLATE(B838, ""EN"", ""BN"")"),"সমস্ত দোষ বা সন্দেহ থেকে মুক্ত করা")</f>
        <v>সমস্ত দোষ বা সন্দেহ থেকে মুক্ত করা</v>
      </c>
      <c r="D838" s="8" t="s">
        <v>2479</v>
      </c>
    </row>
    <row r="839">
      <c r="A839" s="5" t="s">
        <v>2480</v>
      </c>
      <c r="B839" s="6" t="s">
        <v>2481</v>
      </c>
      <c r="C839" s="7" t="str">
        <f>IFERROR(__xludf.DUMMYFUNCTION("GOOGLETRANSLATE(B839, ""EN"", ""BN"")"),"প্রতিশোধের সন্ধানে")</f>
        <v>প্রতিশোধের সন্ধানে</v>
      </c>
      <c r="D839" s="8" t="s">
        <v>2482</v>
      </c>
    </row>
    <row r="840">
      <c r="A840" s="5" t="s">
        <v>2483</v>
      </c>
      <c r="B840" s="6" t="s">
        <v>2484</v>
      </c>
      <c r="C840" s="7" t="str">
        <f>IFERROR(__xludf.DUMMYFUNCTION("GOOGLETRANSLATE(B840, ""EN"", ""BN"")"),"একজন দক্ষ সঙ্গীতজ্ঞ")</f>
        <v>একজন দক্ষ সঙ্গীতজ্ঞ</v>
      </c>
      <c r="D840" s="8" t="s">
        <v>2485</v>
      </c>
    </row>
    <row r="841">
      <c r="A841" s="5" t="s">
        <v>2486</v>
      </c>
      <c r="B841" s="6" t="s">
        <v>2487</v>
      </c>
      <c r="C841" s="7" t="str">
        <f>IFERROR(__xludf.DUMMYFUNCTION("GOOGLETRANSLATE(B841, ""EN"", ""BN"")"),"ঘৃণায় পূর্ণ; অত্যন্ত বিষাক্ত")</f>
        <v>ঘৃণায় পূর্ণ; অত্যন্ত বিষাক্ত</v>
      </c>
      <c r="D841" s="8" t="s">
        <v>2488</v>
      </c>
    </row>
    <row r="842">
      <c r="A842" s="5" t="s">
        <v>2489</v>
      </c>
      <c r="B842" s="6" t="s">
        <v>2490</v>
      </c>
      <c r="C842" s="7" t="str">
        <f>IFERROR(__xludf.DUMMYFUNCTION("GOOGLETRANSLATE(B842, ""EN"", ""BN"")"),"এমন কেউ যার ভবিষ্যৎ সম্পর্কে অবাস্তব লক্ষ্য বা আদর্শ রয়েছে")</f>
        <v>এমন কেউ যার ভবিষ্যৎ সম্পর্কে অবাস্তব লক্ষ্য বা আদর্শ রয়েছে</v>
      </c>
      <c r="D842" s="8" t="s">
        <v>2491</v>
      </c>
    </row>
    <row r="843">
      <c r="A843" s="5" t="s">
        <v>2492</v>
      </c>
      <c r="B843" s="6" t="s">
        <v>2493</v>
      </c>
      <c r="C843" s="7" t="str">
        <f>IFERROR(__xludf.DUMMYFUNCTION("GOOGLETRANSLATE(B843, ""EN"", ""BN"")"),"দূষিত করতে")</f>
        <v>দূষিত করতে</v>
      </c>
      <c r="D843" s="8" t="s">
        <v>2494</v>
      </c>
    </row>
    <row r="844">
      <c r="A844" s="5" t="s">
        <v>2495</v>
      </c>
      <c r="B844" s="6" t="s">
        <v>2496</v>
      </c>
      <c r="C844" s="7" t="str">
        <f>IFERROR(__xludf.DUMMYFUNCTION("GOOGLETRANSLATE(B844, ""EN"", ""BN"")"),"ক্ষয়কারী")</f>
        <v>ক্ষয়কারী</v>
      </c>
      <c r="D844" s="8" t="s">
        <v>2497</v>
      </c>
    </row>
    <row r="845">
      <c r="A845" s="5" t="s">
        <v>2498</v>
      </c>
      <c r="B845" s="6" t="s">
        <v>2499</v>
      </c>
      <c r="C845" s="7" t="str">
        <f>IFERROR(__xludf.DUMMYFUNCTION("GOOGLETRANSLATE(B845, ""EN"", ""BN"")"),"একটি চাকরি")</f>
        <v>একটি চাকরি</v>
      </c>
      <c r="D845" s="8" t="s">
        <v>2500</v>
      </c>
    </row>
    <row r="846">
      <c r="A846" s="5" t="s">
        <v>2501</v>
      </c>
      <c r="B846" s="6" t="s">
        <v>2502</v>
      </c>
      <c r="C846" s="7" t="str">
        <f>IFERROR(__xludf.DUMMYFUNCTION("GOOGLETRANSLATE(B846, ""EN"", ""BN"")"),"কোলাহলপূর্ণ")</f>
        <v>কোলাহলপূর্ণ</v>
      </c>
      <c r="D846" s="8" t="s">
        <v>2503</v>
      </c>
    </row>
    <row r="847">
      <c r="A847" s="5" t="s">
        <v>2504</v>
      </c>
      <c r="B847" s="6" t="s">
        <v>2505</v>
      </c>
      <c r="C847" s="7" t="str">
        <f>IFERROR(__xludf.DUMMYFUNCTION("GOOGLETRANSLATE(B847, ""EN"", ""BN"")"),"বিস্ফোরক; অত্যন্ত অস্থিতিশীল")</f>
        <v>বিস্ফোরক; অত্যন্ত অস্থিতিশীল</v>
      </c>
      <c r="D847" s="8" t="s">
        <v>2506</v>
      </c>
    </row>
    <row r="848">
      <c r="A848" s="5" t="s">
        <v>2507</v>
      </c>
      <c r="B848" s="6" t="s">
        <v>2508</v>
      </c>
      <c r="C848" s="7" t="str">
        <f>IFERROR(__xludf.DUMMYFUNCTION("GOOGLETRANSLATE(B848, ""EN"", ""BN"")"),"সচেতন পছন্দ")</f>
        <v>সচেতন পছন্দ</v>
      </c>
      <c r="D848" s="8" t="s">
        <v>2509</v>
      </c>
    </row>
    <row r="849">
      <c r="A849" s="5" t="s">
        <v>2510</v>
      </c>
      <c r="B849" s="6" t="s">
        <v>2511</v>
      </c>
      <c r="C849" s="7" t="str">
        <f>IFERROR(__xludf.DUMMYFUNCTION("GOOGLETRANSLATE(B849, ""EN"", ""BN"")"),"বিদ্বেষপূর্ণ")</f>
        <v>বিদ্বেষপূর্ণ</v>
      </c>
      <c r="D849" s="8" t="s">
        <v>2512</v>
      </c>
    </row>
    <row r="850">
      <c r="A850" s="5" t="s">
        <v>2513</v>
      </c>
      <c r="B850" s="6" t="s">
        <v>2514</v>
      </c>
      <c r="C850" s="7" t="str">
        <f>IFERROR(__xludf.DUMMYFUNCTION("GOOGLETRANSLATE(B850, ""EN"", ""BN"")"),"ইচ্ছাকৃতভাবে")</f>
        <v>ইচ্ছাকৃতভাবে</v>
      </c>
      <c r="D850" s="8" t="s">
        <v>2515</v>
      </c>
    </row>
    <row r="851">
      <c r="A851" s="5" t="s">
        <v>2516</v>
      </c>
      <c r="B851" s="6" t="s">
        <v>2517</v>
      </c>
      <c r="C851" s="7" t="str">
        <f>IFERROR(__xludf.DUMMYFUNCTION("GOOGLETRANSLATE(B851, ""EN"", ""BN"")"),"দুঃখের আকাঙ্ক্ষা")</f>
        <v>দুঃখের আকাঙ্ক্ষা</v>
      </c>
      <c r="D851" s="8" t="s">
        <v>2518</v>
      </c>
    </row>
    <row r="852">
      <c r="A852" s="12" t="s">
        <v>2519</v>
      </c>
      <c r="B852" s="13" t="s">
        <v>2520</v>
      </c>
      <c r="C852" s="7" t="str">
        <f>IFERROR(__xludf.DUMMYFUNCTION("GOOGLETRANSLATE(B852, ""EN"", ""BN"")"),"কোনো কিছুর প্রতি উৎসাহের সাথে নিবেদিত")</f>
        <v>কোনো কিছুর প্রতি উৎসাহের সাথে নিবেদিত</v>
      </c>
      <c r="D852" s="14" t="s">
        <v>2521</v>
      </c>
    </row>
  </sheetData>
  <drawing r:id="rId1"/>
</worksheet>
</file>